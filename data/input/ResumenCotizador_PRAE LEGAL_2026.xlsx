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PRAE LEGAL/BD Cotizaciones/2026/"/>
    </mc:Choice>
  </mc:AlternateContent>
  <xr:revisionPtr revIDLastSave="19" documentId="8_{1200F4BB-B85B-4F72-8445-D5B17C931543}" xr6:coauthVersionLast="47" xr6:coauthVersionMax="47" xr10:uidLastSave="{074085B7-8F48-4169-B1B1-263B8B172848}"/>
  <bookViews>
    <workbookView xWindow="-120" yWindow="-120" windowWidth="29040" windowHeight="15720" xr2:uid="{8FF85CF5-44EC-4035-AC10-A222321182E9}"/>
  </bookViews>
  <sheets>
    <sheet name="JUNIO" sheetId="1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Q8" i="1"/>
  <c r="Q7" i="1"/>
  <c r="W7" i="1" s="1"/>
  <c r="Q5" i="1"/>
  <c r="W5" i="1" s="1"/>
  <c r="Q4" i="1"/>
  <c r="W4" i="1" s="1"/>
  <c r="W8" i="1" l="1"/>
  <c r="W9" i="1"/>
  <c r="AE9" i="1" l="1"/>
  <c r="V9" i="1"/>
  <c r="S9" i="1"/>
  <c r="AE8" i="1"/>
  <c r="V8" i="1"/>
  <c r="S8" i="1"/>
  <c r="AE7" i="1"/>
  <c r="V7" i="1"/>
  <c r="S7" i="1"/>
  <c r="U7" i="1" s="1"/>
  <c r="U8" i="1" l="1"/>
  <c r="T8" i="1"/>
  <c r="Y8" i="1"/>
  <c r="AG8" i="1" s="1"/>
  <c r="Y7" i="1"/>
  <c r="AG7" i="1" s="1"/>
  <c r="T9" i="1"/>
  <c r="U9" i="1"/>
  <c r="Y9" i="1" s="1"/>
  <c r="AG9" i="1" s="1"/>
  <c r="T7" i="1"/>
  <c r="Q6" i="1"/>
  <c r="AH9" i="1" l="1"/>
  <c r="AI9" i="1" s="1"/>
  <c r="AH7" i="1"/>
  <c r="AI7" i="1" s="1"/>
  <c r="AH8" i="1"/>
  <c r="AI8" i="1" s="1"/>
  <c r="AE5" i="1"/>
  <c r="V5" i="1"/>
  <c r="S5" i="1"/>
  <c r="T5" i="1" s="1"/>
  <c r="J9" i="1" l="1"/>
  <c r="L9" i="1" s="1"/>
  <c r="J8" i="1"/>
  <c r="L8" i="1" s="1"/>
  <c r="J7" i="1"/>
  <c r="L7" i="1" s="1"/>
  <c r="AJ8" i="1"/>
  <c r="AK8" i="1" s="1"/>
  <c r="AJ7" i="1"/>
  <c r="AK7" i="1" s="1"/>
  <c r="AJ9" i="1"/>
  <c r="AK9" i="1" s="1"/>
  <c r="U5" i="1"/>
  <c r="Y5" i="1" l="1"/>
  <c r="AE6" i="1"/>
  <c r="V6" i="1"/>
  <c r="W6" i="1"/>
  <c r="AE4" i="1"/>
  <c r="V4" i="1"/>
  <c r="J4" i="1"/>
  <c r="AG5" i="1" l="1"/>
  <c r="AH5" i="1" s="1"/>
  <c r="AI5" i="1" s="1"/>
  <c r="S6" i="1"/>
  <c r="T6" i="1" s="1"/>
  <c r="S4" i="1"/>
  <c r="T4" i="1" s="1"/>
  <c r="L4" i="1" s="1"/>
  <c r="J5" i="1" l="1"/>
  <c r="L5" i="1" s="1"/>
  <c r="AJ5" i="1"/>
  <c r="AK5" i="1" s="1"/>
  <c r="U6" i="1"/>
  <c r="Y6" i="1" s="1"/>
  <c r="U4" i="1"/>
  <c r="Y4" i="1" s="1"/>
  <c r="AG4" i="1" s="1"/>
  <c r="AG6" i="1" l="1"/>
  <c r="AH6" i="1" s="1"/>
  <c r="AI6" i="1" s="1"/>
  <c r="AJ6" i="1" s="1"/>
  <c r="AK6" i="1" s="1"/>
  <c r="J6" i="1"/>
  <c r="L6" i="1" s="1"/>
  <c r="AH4" i="1"/>
  <c r="AI4" i="1" s="1"/>
  <c r="AJ4" i="1" l="1"/>
  <c r="AK4" i="1" s="1"/>
</calcChain>
</file>

<file path=xl/sharedStrings.xml><?xml version="1.0" encoding="utf-8"?>
<sst xmlns="http://schemas.openxmlformats.org/spreadsheetml/2006/main" count="61" uniqueCount="49">
  <si>
    <t>Nº</t>
  </si>
  <si>
    <t>Cód. Artíc.</t>
  </si>
  <si>
    <t>Art.</t>
  </si>
  <si>
    <t>Foto</t>
  </si>
  <si>
    <t>Cant.</t>
  </si>
  <si>
    <t>Costo Uni.
NO. IGV(S/.)</t>
  </si>
  <si>
    <t xml:space="preserve">Tiempo Entrega </t>
  </si>
  <si>
    <t>Detalle</t>
  </si>
  <si>
    <t>Costo TOTAL
NO. IGV (S/.)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</si>
  <si>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</si>
  <si>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</si>
  <si>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</si>
  <si>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</si>
  <si>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</si>
  <si>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</si>
  <si>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</si>
  <si>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</si>
  <si>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</si>
  <si>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</si>
  <si>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</si>
  <si>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</si>
  <si>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</si>
  <si>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</si>
  <si>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</si>
  <si>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</si>
  <si>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</si>
  <si>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</si>
  <si>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</si>
  <si>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</si>
  <si>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</si>
  <si>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</si>
  <si>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</si>
  <si>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</si>
  <si>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 xml:space="preserve">Imagen Referencial </t>
  </si>
  <si>
    <t>5 a 7 dias utiles</t>
  </si>
  <si>
    <t>LAPICERO METÁLICO</t>
  </si>
  <si>
    <t>COCH-ME04N</t>
  </si>
  <si>
    <t>COTIZACIÓN PROPUESTA_PRAE LEGAL_10.09.25</t>
  </si>
  <si>
    <t>ME04N</t>
  </si>
  <si>
    <t xml:space="preserve">CHIPPER
</t>
  </si>
  <si>
    <t>Precio
1000-500 S/.1.10  Incluido IGV
100 S/.1.20  Incluido IGV</t>
  </si>
  <si>
    <t>UV</t>
  </si>
  <si>
    <t>7 a 9 dias utiles</t>
  </si>
  <si>
    <t>COCK-KM2026</t>
  </si>
  <si>
    <t>CKI</t>
  </si>
  <si>
    <t>KM2026</t>
  </si>
  <si>
    <t xml:space="preserve">Precio
S/.1.40  Incluido IGV
</t>
  </si>
  <si>
    <r>
      <rPr>
        <b/>
        <u/>
        <sz val="16"/>
        <color rgb="FF000000"/>
        <rFont val="Arial"/>
        <family val="2"/>
      </rPr>
      <t>LAPICERO DE ALUMINIO</t>
    </r>
    <r>
      <rPr>
        <sz val="16"/>
        <color rgb="FF000000"/>
        <rFont val="Arial"/>
        <family val="2"/>
      </rPr>
      <t xml:space="preserve">
Lapicero de aluminio
Acabado mate.
Tinta seca negra/azul
Color: Plateado, Negro y gris
Presentacion: Caja grupal, no individual
</t>
    </r>
    <r>
      <rPr>
        <b/>
        <sz val="16"/>
        <color rgb="FFFF0000"/>
        <rFont val="Arial"/>
        <family val="2"/>
      </rPr>
      <t>*Incluye logo a full color por 1 lado.
*Arte y diseño debe ser facilitado por el cliente.</t>
    </r>
  </si>
  <si>
    <r>
      <rPr>
        <b/>
        <u/>
        <sz val="16"/>
        <color rgb="FF000000"/>
        <rFont val="Arial"/>
        <family val="2"/>
      </rPr>
      <t>LAPICERO METÁLICO</t>
    </r>
    <r>
      <rPr>
        <sz val="16"/>
        <color rgb="FF000000"/>
        <rFont val="Arial"/>
        <family val="2"/>
      </rPr>
      <t xml:space="preserve">
Lapicero metálico con sistema retractil.
Acabado mate.
Tinta seca negra/azul
Color: Blanco, dorado
Presentacion: Caja grupal, no individual
</t>
    </r>
    <r>
      <rPr>
        <b/>
        <sz val="16"/>
        <color rgb="FFFF0000"/>
        <rFont val="Arial"/>
        <family val="2"/>
      </rPr>
      <t>*Incluye logo a full color por 1 lado.
*Arte y diseño debe ser facilitado por el cliente.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</si>
</sst>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$-409]* #,##0.00_ ;_-[$$-409]* \-#,##0.00\ ;_-[$$-409]* &quot;-&quot;??_ ;_-@_ "/>
    <numFmt numFmtId="165" formatCode="_(* #,##0_);_(* \(#,##0\);_(* &quot;-&quot;??_);_(@_)"/>
    <numFmt numFmtId="166" formatCode="&quot;S/. &quot;#,##0.00"/>
    <numFmt numFmtId="167" formatCode="&quot;S/.&quot;\ #,##0.00"/>
    <numFmt numFmtId="168" formatCode="&quot;S/&quot;\ #,##0.00"/>
    <numFmt numFmtId="169" formatCode="[$S/.-280A]\ #,##0.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1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rgb="FFFF0000"/>
      <name val="Arial"/>
      <family val="2"/>
    </font>
    <font>
      <sz val="16"/>
      <color indexed="8"/>
      <name val="Arial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1"/>
      <color indexed="8"/>
      <name val="Calibri"/>
      <family val="2"/>
    </font>
    <font>
      <b/>
      <sz val="16"/>
      <name val="Arial"/>
      <family val="2"/>
    </font>
    <font>
      <sz val="11"/>
      <color indexed="52"/>
      <name val="Tahoma"/>
      <family val="2"/>
      <charset val="1"/>
    </font>
    <font>
      <b/>
      <sz val="18"/>
      <name val="Arial"/>
      <family val="2"/>
    </font>
    <font>
      <sz val="16"/>
      <color indexed="8"/>
      <name val="Arial"/>
      <family val="2"/>
      <charset val="1"/>
    </font>
    <font>
      <b/>
      <u/>
      <sz val="16"/>
      <color rgb="FF000000"/>
      <name val="Arial"/>
      <family val="2"/>
    </font>
    <font>
      <sz val="16"/>
      <color rgb="FF000000"/>
      <name val="Arial"/>
      <family val="2"/>
    </font>
    <font>
      <sz val="16"/>
      <color rgb="FFFF0000"/>
      <name val="Arial"/>
      <family val="2"/>
    </font>
    <font>
      <sz val="16"/>
      <name val="Arial"/>
      <family val="2"/>
      <charset val="1"/>
    </font>
    <font>
      <sz val="16"/>
      <color theme="1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indexed="10"/>
      <name val="Arial"/>
      <family val="2"/>
    </font>
    <font>
      <sz val="16"/>
      <color indexed="10"/>
      <name val="Arial"/>
      <family val="2"/>
    </font>
    <font>
      <b/>
      <sz val="16"/>
      <color theme="0"/>
      <name val="Arial"/>
      <family val="2"/>
    </font>
    <font>
      <b/>
      <sz val="14"/>
      <color rgb="FFFF0000"/>
      <name val="Arial"/>
      <family val="2"/>
    </font>
    <font>
      <sz val="16"/>
      <color rgb="FF00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56"/>
        <bgColor indexed="62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164" fontId="13" fillId="0" borderId="0" applyFont="0" applyFill="0" applyBorder="0" applyAlignment="0" applyProtection="0"/>
    <xf numFmtId="0" fontId="15" fillId="0" borderId="2" applyProtection="0">
      <alignment vertical="center"/>
    </xf>
  </cellStyleXfs>
  <cellXfs count="70">
    <xf numFmtId="0" fontId="0" fillId="0" borderId="0" xfId="0"/>
    <xf numFmtId="0" fontId="2" fillId="0" borderId="0" xfId="0" applyFont="1"/>
    <xf numFmtId="0" fontId="5" fillId="2" borderId="0" xfId="3" applyFont="1" applyFill="1" applyAlignment="1">
      <alignment horizontal="center" vertical="center"/>
    </xf>
    <xf numFmtId="49" fontId="3" fillId="2" borderId="0" xfId="2" applyNumberFormat="1" applyFill="1" applyAlignment="1">
      <alignment vertical="center" wrapText="1"/>
    </xf>
    <xf numFmtId="0" fontId="6" fillId="2" borderId="0" xfId="3" applyFont="1" applyFill="1"/>
    <xf numFmtId="0" fontId="6" fillId="2" borderId="0" xfId="3" applyFont="1" applyFill="1" applyAlignment="1">
      <alignment vertical="center"/>
    </xf>
    <xf numFmtId="0" fontId="5" fillId="2" borderId="0" xfId="3" applyFont="1" applyFill="1" applyAlignment="1">
      <alignment horizontal="center"/>
    </xf>
    <xf numFmtId="0" fontId="6" fillId="2" borderId="0" xfId="3" applyFont="1" applyFill="1" applyAlignment="1">
      <alignment wrapText="1"/>
    </xf>
    <xf numFmtId="0" fontId="3" fillId="0" borderId="0" xfId="2"/>
    <xf numFmtId="0" fontId="7" fillId="0" borderId="0" xfId="0" applyFont="1"/>
    <xf numFmtId="0" fontId="8" fillId="3" borderId="1" xfId="3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6" fillId="0" borderId="1" xfId="6" applyFont="1" applyBorder="1" applyAlignment="1" applyProtection="1">
      <alignment horizontal="center" vertical="center" wrapText="1"/>
    </xf>
    <xf numFmtId="166" fontId="16" fillId="2" borderId="1" xfId="6" applyNumberFormat="1" applyFont="1" applyFill="1" applyBorder="1" applyAlignment="1" applyProtection="1">
      <alignment horizontal="center" vertical="center" wrapText="1"/>
    </xf>
    <xf numFmtId="167" fontId="16" fillId="0" borderId="1" xfId="2" applyNumberFormat="1" applyFont="1" applyBorder="1" applyAlignment="1">
      <alignment horizontal="center" vertical="center" wrapText="1"/>
    </xf>
    <xf numFmtId="9" fontId="21" fillId="0" borderId="0" xfId="1" applyFont="1" applyBorder="1" applyAlignment="1" applyProtection="1">
      <alignment horizontal="center" vertical="center"/>
    </xf>
    <xf numFmtId="0" fontId="14" fillId="10" borderId="1" xfId="2" applyFont="1" applyFill="1" applyBorder="1" applyAlignment="1">
      <alignment horizontal="center" vertical="center"/>
    </xf>
    <xf numFmtId="169" fontId="22" fillId="11" borderId="1" xfId="2" applyNumberFormat="1" applyFont="1" applyFill="1" applyBorder="1" applyAlignment="1">
      <alignment horizontal="center" vertical="center"/>
    </xf>
    <xf numFmtId="167" fontId="23" fillId="11" borderId="1" xfId="2" applyNumberFormat="1" applyFont="1" applyFill="1" applyBorder="1" applyAlignment="1">
      <alignment horizontal="center" vertical="center"/>
    </xf>
    <xf numFmtId="167" fontId="24" fillId="11" borderId="1" xfId="2" applyNumberFormat="1" applyFont="1" applyFill="1" applyBorder="1" applyAlignment="1">
      <alignment horizontal="center" vertical="center"/>
    </xf>
    <xf numFmtId="0" fontId="14" fillId="9" borderId="1" xfId="2" applyFont="1" applyFill="1" applyBorder="1" applyAlignment="1">
      <alignment horizontal="center" vertical="center"/>
    </xf>
    <xf numFmtId="167" fontId="10" fillId="12" borderId="1" xfId="2" applyNumberFormat="1" applyFont="1" applyFill="1" applyBorder="1" applyAlignment="1">
      <alignment horizontal="center" vertical="center"/>
    </xf>
    <xf numFmtId="167" fontId="10" fillId="13" borderId="1" xfId="2" applyNumberFormat="1" applyFont="1" applyFill="1" applyBorder="1" applyAlignment="1">
      <alignment horizontal="center" vertical="center"/>
    </xf>
    <xf numFmtId="167" fontId="25" fillId="14" borderId="1" xfId="2" applyNumberFormat="1" applyFont="1" applyFill="1" applyBorder="1" applyAlignment="1">
      <alignment horizontal="center" vertical="center"/>
    </xf>
    <xf numFmtId="167" fontId="10" fillId="7" borderId="1" xfId="2" applyNumberFormat="1" applyFont="1" applyFill="1" applyBorder="1" applyAlignment="1">
      <alignment horizontal="center" vertical="center" wrapText="1"/>
    </xf>
    <xf numFmtId="167" fontId="10" fillId="15" borderId="1" xfId="2" applyNumberFormat="1" applyFont="1" applyFill="1" applyBorder="1" applyAlignment="1">
      <alignment horizontal="center" vertical="center"/>
    </xf>
    <xf numFmtId="0" fontId="10" fillId="16" borderId="1" xfId="2" applyFont="1" applyFill="1" applyBorder="1" applyAlignment="1">
      <alignment horizontal="center" vertical="center"/>
    </xf>
    <xf numFmtId="167" fontId="26" fillId="14" borderId="1" xfId="2" applyNumberFormat="1" applyFont="1" applyFill="1" applyBorder="1" applyAlignment="1">
      <alignment horizontal="center" vertical="center"/>
    </xf>
    <xf numFmtId="167" fontId="5" fillId="13" borderId="1" xfId="2" applyNumberFormat="1" applyFont="1" applyFill="1" applyBorder="1" applyAlignment="1">
      <alignment horizontal="center" vertical="center"/>
    </xf>
    <xf numFmtId="167" fontId="22" fillId="0" borderId="1" xfId="2" applyNumberFormat="1" applyFont="1" applyBorder="1" applyAlignment="1">
      <alignment horizontal="center" vertical="center"/>
    </xf>
    <xf numFmtId="167" fontId="27" fillId="17" borderId="1" xfId="2" applyNumberFormat="1" applyFont="1" applyFill="1" applyBorder="1" applyAlignment="1">
      <alignment horizontal="center" vertical="center"/>
    </xf>
    <xf numFmtId="169" fontId="22" fillId="7" borderId="1" xfId="4" applyNumberFormat="1" applyFont="1" applyFill="1" applyBorder="1" applyAlignment="1">
      <alignment horizontal="center" vertical="center"/>
    </xf>
    <xf numFmtId="169" fontId="9" fillId="7" borderId="1" xfId="2" applyNumberFormat="1" applyFont="1" applyFill="1" applyBorder="1" applyAlignment="1">
      <alignment horizontal="center" vertical="center"/>
    </xf>
    <xf numFmtId="0" fontId="17" fillId="2" borderId="1" xfId="6" applyFont="1" applyFill="1" applyBorder="1" applyAlignment="1" applyProtection="1">
      <alignment horizontal="center" vertical="center" wrapText="1"/>
    </xf>
    <xf numFmtId="167" fontId="20" fillId="8" borderId="1" xfId="2" applyNumberFormat="1" applyFont="1" applyFill="1" applyBorder="1" applyAlignment="1">
      <alignment horizontal="center" vertical="center"/>
    </xf>
    <xf numFmtId="0" fontId="11" fillId="4" borderId="1" xfId="2" applyFont="1" applyFill="1" applyBorder="1" applyAlignment="1">
      <alignment horizontal="center" vertical="center" wrapText="1"/>
    </xf>
    <xf numFmtId="0" fontId="12" fillId="5" borderId="1" xfId="2" applyFont="1" applyFill="1" applyBorder="1" applyAlignment="1">
      <alignment horizontal="center" vertical="center" wrapText="1"/>
    </xf>
    <xf numFmtId="0" fontId="12" fillId="3" borderId="1" xfId="2" applyFont="1" applyFill="1" applyBorder="1" applyAlignment="1">
      <alignment horizontal="center" vertical="center" wrapText="1"/>
    </xf>
    <xf numFmtId="0" fontId="11" fillId="6" borderId="1" xfId="2" applyFont="1" applyFill="1" applyBorder="1" applyAlignment="1">
      <alignment horizontal="center" vertical="center" wrapText="1"/>
    </xf>
    <xf numFmtId="9" fontId="11" fillId="6" borderId="1" xfId="2" applyNumberFormat="1" applyFont="1" applyFill="1" applyBorder="1" applyAlignment="1">
      <alignment horizontal="center" vertical="center"/>
    </xf>
    <xf numFmtId="168" fontId="10" fillId="0" borderId="1" xfId="2" applyNumberFormat="1" applyFont="1" applyBorder="1" applyAlignment="1">
      <alignment horizontal="center" vertical="center"/>
    </xf>
    <xf numFmtId="0" fontId="14" fillId="0" borderId="0" xfId="2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1" xfId="2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wrapText="1"/>
    </xf>
    <xf numFmtId="0" fontId="28" fillId="0" borderId="4" xfId="0" applyFont="1" applyBorder="1" applyAlignment="1">
      <alignment horizontal="center" wrapText="1"/>
    </xf>
    <xf numFmtId="0" fontId="28" fillId="0" borderId="5" xfId="0" applyFont="1" applyBorder="1" applyAlignment="1">
      <alignment horizontal="center" wrapText="1"/>
    </xf>
    <xf numFmtId="165" fontId="14" fillId="0" borderId="3" xfId="5" applyNumberFormat="1" applyFont="1" applyFill="1" applyBorder="1" applyAlignment="1">
      <alignment horizontal="center" vertical="center" wrapText="1"/>
    </xf>
    <xf numFmtId="165" fontId="14" fillId="0" borderId="4" xfId="5" applyNumberFormat="1" applyFont="1" applyFill="1" applyBorder="1" applyAlignment="1">
      <alignment horizontal="center" vertical="center" wrapText="1"/>
    </xf>
    <xf numFmtId="165" fontId="14" fillId="0" borderId="5" xfId="5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left" vertical="center" wrapText="1"/>
    </xf>
    <xf numFmtId="0" fontId="5" fillId="0" borderId="5" xfId="2" applyFont="1" applyBorder="1" applyAlignment="1">
      <alignment horizontal="left" vertical="center" wrapText="1"/>
    </xf>
    <xf numFmtId="49" fontId="5" fillId="7" borderId="3" xfId="2" applyNumberFormat="1" applyFont="1" applyFill="1" applyBorder="1" applyAlignment="1">
      <alignment horizontal="center" vertical="center" wrapText="1"/>
    </xf>
    <xf numFmtId="49" fontId="5" fillId="7" borderId="4" xfId="2" applyNumberFormat="1" applyFont="1" applyFill="1" applyBorder="1" applyAlignment="1">
      <alignment horizontal="center" vertical="center" wrapText="1"/>
    </xf>
    <xf numFmtId="49" fontId="5" fillId="7" borderId="5" xfId="2" applyNumberFormat="1" applyFont="1" applyFill="1" applyBorder="1" applyAlignment="1">
      <alignment horizontal="center" vertical="center" wrapText="1"/>
    </xf>
    <xf numFmtId="49" fontId="22" fillId="8" borderId="3" xfId="2" applyNumberFormat="1" applyFont="1" applyFill="1" applyBorder="1" applyAlignment="1">
      <alignment horizontal="center" vertical="center" wrapText="1"/>
    </xf>
    <xf numFmtId="49" fontId="22" fillId="8" borderId="4" xfId="2" applyNumberFormat="1" applyFont="1" applyFill="1" applyBorder="1" applyAlignment="1">
      <alignment horizontal="center" vertical="center" wrapText="1"/>
    </xf>
    <xf numFmtId="49" fontId="22" fillId="8" borderId="5" xfId="2" applyNumberFormat="1" applyFont="1" applyFill="1" applyBorder="1" applyAlignment="1">
      <alignment horizontal="center" vertical="center" wrapText="1"/>
    </xf>
    <xf numFmtId="0" fontId="29" fillId="7" borderId="6" xfId="0" applyFont="1" applyFill="1" applyBorder="1" applyAlignment="1">
      <alignment horizontal="center" vertical="center" wrapText="1"/>
    </xf>
    <xf numFmtId="0" fontId="29" fillId="7" borderId="7" xfId="0" applyFont="1" applyFill="1" applyBorder="1" applyAlignment="1">
      <alignment horizontal="center" vertical="center" wrapText="1"/>
    </xf>
    <xf numFmtId="0" fontId="29" fillId="7" borderId="8" xfId="0" applyFont="1" applyFill="1" applyBorder="1" applyAlignment="1">
      <alignment horizontal="center" vertical="center" wrapText="1"/>
    </xf>
    <xf numFmtId="0" fontId="29" fillId="7" borderId="9" xfId="0" applyFont="1" applyFill="1" applyBorder="1" applyAlignment="1">
      <alignment horizontal="center" vertical="center" wrapText="1"/>
    </xf>
    <xf numFmtId="0" fontId="29" fillId="7" borderId="10" xfId="0" applyFont="1" applyFill="1" applyBorder="1" applyAlignment="1">
      <alignment horizontal="center" vertical="center" wrapText="1"/>
    </xf>
    <xf numFmtId="0" fontId="29" fillId="7" borderId="11" xfId="0" applyFont="1" applyFill="1" applyBorder="1" applyAlignment="1">
      <alignment horizontal="center" vertical="center" wrapText="1"/>
    </xf>
  </cellXfs>
  <cellStyles count="7">
    <cellStyle name="Excel Built-in Explanatory Text" xfId="6" xr:uid="{0165C5F5-972A-4A7B-9287-08AA85C12D49}"/>
    <cellStyle name="Millares 2 2 3 4 2 2 2 2 2" xfId="5" xr:uid="{81B475E3-B09A-4777-9CF1-63EE40A4E7C9}"/>
    <cellStyle name="Normal" xfId="0" builtinId="0"/>
    <cellStyle name="Normal 2 2" xfId="2" xr:uid="{9C303015-AFD4-4FE0-AECD-4B7229BDD278}"/>
    <cellStyle name="Normal 3 4 2" xfId="4" xr:uid="{A81C10EB-75CA-4A08-9026-88CAE86B1C74}"/>
    <cellStyle name="Normal 4 2" xfId="3" xr:uid="{F6B4D023-44C7-49E9-80BC-3109C67B58A2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2271724</xdr:colOff>
      <xdr:row>3</xdr:row>
      <xdr:rowOff>616374</xdr:rowOff>
    </xdr:from>
    <xdr:to>
      <xdr:col>4</xdr:col>
      <xdr:colOff>2595923</xdr:colOff>
      <xdr:row>5</xdr:row>
      <xdr:rowOff>751192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7791DF-7429-85D1-3336-92714B52B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150933">
          <a:off x="5986474" y="1648249"/>
          <a:ext cx="324199" cy="2008068"/>
        </a:xfrm>
        <a:prstGeom prst="rect">
          <a:avLst/>
        </a:prstGeom>
      </xdr:spPr>
    </xdr:pic>
    <xdr:clientData/>
  </xdr:twoCellAnchor>
  <xdr:twoCellAnchor editAs="oneCell">
    <xdr:from>
      <xdr:col>4</xdr:col>
      <xdr:colOff>946083</xdr:colOff>
      <xdr:row>6</xdr:row>
      <xdr:rowOff>390853</xdr:rowOff>
    </xdr:from>
    <xdr:to>
      <xdr:col>4</xdr:col>
      <xdr:colOff>1318063</xdr:colOff>
      <xdr:row>8</xdr:row>
      <xdr:rowOff>365125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F0DD7F3-1938-744D-4483-8007C03C9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0833" y="4232603"/>
          <a:ext cx="371980" cy="1847522"/>
        </a:xfrm>
        <a:prstGeom prst="rect">
          <a:avLst/>
        </a:prstGeom>
      </xdr:spPr>
    </xdr:pic>
    <xdr:clientData/>
  </xdr:twoCellAnchor>
  <xdr:twoCellAnchor editAs="oneCell">
    <xdr:from>
      <xdr:col>4</xdr:col>
      <xdr:colOff>593783</xdr:colOff>
      <xdr:row>6</xdr:row>
      <xdr:rowOff>423696</xdr:rowOff>
    </xdr:from>
    <xdr:to>
      <xdr:col>4</xdr:col>
      <xdr:colOff>902100</xdr:colOff>
      <xdr:row>8</xdr:row>
      <xdr:rowOff>359163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6698352-9EB5-E4EE-D1AA-B2397DE75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533" y="4265446"/>
          <a:ext cx="308317" cy="1808717"/>
        </a:xfrm>
        <a:prstGeom prst="rect">
          <a:avLst/>
        </a:prstGeom>
      </xdr:spPr>
    </xdr:pic>
    <xdr:clientData/>
  </xdr:twoCellAnchor>
  <xdr:twoCellAnchor>
    <xdr:from>
      <xdr:col>4</xdr:col>
      <xdr:colOff>240862</xdr:colOff>
      <xdr:row>3</xdr:row>
      <xdr:rowOff>76638</xdr:rowOff>
    </xdr:from>
    <xdr:to>
      <xdr:col>4</xdr:col>
      <xdr:colOff>1984375</xdr:colOff>
      <xdr:row>5</xdr:row>
      <xdr:rowOff>216238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47949248-259C-4682-8F3E-F3CDDD307C37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55612" y="1108513"/>
          <a:ext cx="1743513" cy="2012850"/>
        </a:xfrm>
        <a:prstGeom prst="rect">
          <a:avLst/>
        </a:prstGeom>
      </xdr:spPr>
    </xdr:pic>
    <xdr:clientData/>
  </xdr:twoCellAnchor>
  <xdr:twoCellAnchor>
    <xdr:from>
      <xdr:col>4</xdr:col>
      <xdr:colOff>1548086</xdr:colOff>
      <xdr:row>6</xdr:row>
      <xdr:rowOff>240860</xdr:rowOff>
    </xdr:from>
    <xdr:to>
      <xdr:col>4</xdr:col>
      <xdr:colOff>2857500</xdr:colOff>
      <xdr:row>8</xdr:row>
      <xdr:rowOff>481724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57BC9F4-A480-4EEB-9D74-EC1584DAE708}"/>
            </a:ext>
          </a:extLst>
        </xdr:cNvPr>
        <xdr:cNvPicPr/>
      </xdr:nvPicPr>
      <xdr:blipFill rotWithShape="1">
        <a:blip xmlns:r="http://schemas.openxmlformats.org/officeDocument/2006/relationships" r:embed="rId5" cstate="print"/>
        <a:srcRect l="20454" r="18181"/>
        <a:stretch/>
      </xdr:blipFill>
      <xdr:spPr>
        <a:xfrm>
          <a:off x="5262836" y="4082610"/>
          <a:ext cx="1309414" cy="21141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E28D-FF23-4562-8494-3F9BD4CCB8EA}">
  <dimension ref="A2:HX9"/>
  <sheetViews>
    <sheetView showGridLines="0" tabSelected="1" topLeftCell="O1" zoomScale="60" zoomScaleNormal="60" workbookViewId="0">
      <selection activeCell="R10" sqref="R10"/>
    </sheetView>
  </sheetViews>
  <sheetFormatPr baseColWidth="10" defaultRowHeight="15" x14ac:dyDescent="0.25"/>
  <cols>
    <col min="1" max="1" width="3.28515625" customWidth="1"/>
    <col min="2" max="2" width="6" customWidth="1"/>
    <col min="3" max="3" width="18.5703125" customWidth="1"/>
    <col min="4" max="4" width="27.85546875" customWidth="1"/>
    <col min="5" max="5" width="50.5703125" customWidth="1"/>
    <col min="7" max="7" width="18.140625" customWidth="1"/>
    <col min="8" max="8" width="17" customWidth="1"/>
    <col min="9" max="9" width="79" customWidth="1"/>
    <col min="10" max="10" width="25.28515625" customWidth="1"/>
    <col min="11" max="11" width="11.42578125" style="44"/>
    <col min="13" max="13" width="26.42578125" customWidth="1"/>
    <col min="14" max="14" width="22.5703125" customWidth="1"/>
    <col min="15" max="15" width="44.5703125" customWidth="1"/>
    <col min="16" max="16" width="21.7109375" customWidth="1"/>
    <col min="17" max="17" width="19.7109375" customWidth="1"/>
    <col min="19" max="19" width="15.28515625" customWidth="1"/>
    <col min="20" max="20" width="28.5703125" customWidth="1"/>
    <col min="21" max="21" width="14.140625" bestFit="1" customWidth="1"/>
    <col min="22" max="22" width="15.7109375" customWidth="1"/>
    <col min="23" max="23" width="19.85546875" customWidth="1"/>
    <col min="24" max="24" width="18.42578125" bestFit="1" customWidth="1"/>
    <col min="25" max="25" width="26.85546875" customWidth="1"/>
    <col min="26" max="26" width="27.140625" customWidth="1"/>
    <col min="27" max="27" width="18.42578125" bestFit="1" customWidth="1"/>
    <col min="30" max="30" width="18.140625" customWidth="1"/>
    <col min="31" max="31" width="20.42578125" customWidth="1"/>
    <col min="32" max="32" width="18.5703125" customWidth="1"/>
    <col min="33" max="33" width="21.7109375" customWidth="1"/>
    <col min="34" max="34" width="23" customWidth="1"/>
    <col min="35" max="35" width="14.140625" bestFit="1" customWidth="1"/>
    <col min="36" max="36" width="17.140625" customWidth="1"/>
    <col min="37" max="37" width="14.140625" bestFit="1" customWidth="1"/>
  </cols>
  <sheetData>
    <row r="2" spans="1:232" s="8" customFormat="1" ht="20.25" x14ac:dyDescent="0.3">
      <c r="A2" s="1"/>
      <c r="B2" s="45" t="s">
        <v>37</v>
      </c>
      <c r="C2" s="45"/>
      <c r="D2" s="45"/>
      <c r="E2" s="45"/>
      <c r="F2" s="45"/>
      <c r="G2" s="45"/>
      <c r="H2" s="45"/>
      <c r="I2" s="45"/>
      <c r="J2" s="45"/>
      <c r="K2" s="6"/>
      <c r="L2" s="2"/>
      <c r="M2" s="3"/>
      <c r="N2" s="4"/>
      <c r="O2" s="5"/>
      <c r="P2" s="4"/>
      <c r="Q2" s="4"/>
      <c r="R2" s="4"/>
      <c r="S2" s="4"/>
      <c r="T2" s="4"/>
      <c r="U2" s="4"/>
      <c r="V2" s="4"/>
      <c r="W2" s="4"/>
      <c r="X2" s="6"/>
      <c r="Y2" s="4"/>
      <c r="Z2" s="7"/>
      <c r="AA2" s="4"/>
      <c r="AB2" s="4"/>
      <c r="AC2" s="4"/>
      <c r="AD2" s="4"/>
      <c r="AE2" s="4"/>
      <c r="AF2" s="4"/>
      <c r="AG2" s="4"/>
      <c r="AH2" s="4"/>
      <c r="AI2" s="4"/>
      <c r="AJ2" s="4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</row>
    <row r="3" spans="1:232" s="8" customFormat="1" ht="46.5" customHeight="1" x14ac:dyDescent="0.3">
      <c r="A3" s="9"/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2"/>
      <c r="L3" s="13"/>
      <c r="M3" s="37" t="s">
        <v>9</v>
      </c>
      <c r="N3" s="37" t="s">
        <v>10</v>
      </c>
      <c r="O3" s="37" t="s">
        <v>11</v>
      </c>
      <c r="P3" s="37" t="s">
        <v>12</v>
      </c>
      <c r="Q3" s="38" t="s">
        <v>13</v>
      </c>
      <c r="R3" s="38" t="s">
        <v>14</v>
      </c>
      <c r="S3" s="38" t="s">
        <v>15</v>
      </c>
      <c r="T3" s="38" t="s">
        <v>16</v>
      </c>
      <c r="U3" s="38" t="s">
        <v>17</v>
      </c>
      <c r="V3" s="38" t="s">
        <v>18</v>
      </c>
      <c r="W3" s="38" t="s">
        <v>19</v>
      </c>
      <c r="X3" s="37" t="s">
        <v>20</v>
      </c>
      <c r="Y3" s="37" t="s">
        <v>21</v>
      </c>
      <c r="Z3" s="39" t="s">
        <v>22</v>
      </c>
      <c r="AA3" s="39" t="s">
        <v>23</v>
      </c>
      <c r="AB3" s="39" t="s">
        <v>24</v>
      </c>
      <c r="AC3" s="39" t="s">
        <v>25</v>
      </c>
      <c r="AD3" s="39" t="s">
        <v>26</v>
      </c>
      <c r="AE3" s="39" t="s">
        <v>27</v>
      </c>
      <c r="AF3" s="37" t="s">
        <v>28</v>
      </c>
      <c r="AG3" s="37" t="s">
        <v>29</v>
      </c>
      <c r="AH3" s="40" t="s">
        <v>17</v>
      </c>
      <c r="AI3" s="40" t="s">
        <v>30</v>
      </c>
      <c r="AJ3" s="40" t="s">
        <v>31</v>
      </c>
      <c r="AK3" s="41" t="s">
        <v>32</v>
      </c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</row>
    <row r="4" spans="1:232" s="8" customFormat="1" ht="74.25" customHeight="1" x14ac:dyDescent="0.25">
      <c r="B4" s="52">
        <v>1</v>
      </c>
      <c r="C4" s="49" t="s">
        <v>36</v>
      </c>
      <c r="D4" s="49" t="s">
        <v>35</v>
      </c>
      <c r="E4" s="46" t="s">
        <v>33</v>
      </c>
      <c r="F4" s="14">
        <v>1000</v>
      </c>
      <c r="G4" s="15">
        <v>2.19</v>
      </c>
      <c r="H4" s="35" t="s">
        <v>42</v>
      </c>
      <c r="I4" s="55" t="s">
        <v>48</v>
      </c>
      <c r="J4" s="16">
        <f t="shared" ref="J4:J9" si="0">F4*G4</f>
        <v>2190</v>
      </c>
      <c r="K4" s="43">
        <v>1.9</v>
      </c>
      <c r="L4" s="17">
        <f t="shared" ref="L4:L9" si="1">T4/J4</f>
        <v>0.39665275246438164</v>
      </c>
      <c r="M4" s="58" t="s">
        <v>39</v>
      </c>
      <c r="N4" s="61" t="s">
        <v>38</v>
      </c>
      <c r="O4" s="64" t="s">
        <v>40</v>
      </c>
      <c r="P4" s="65"/>
      <c r="Q4" s="42">
        <f>1.1/1.165</f>
        <v>0.94420600858369108</v>
      </c>
      <c r="R4" s="18">
        <v>92</v>
      </c>
      <c r="S4" s="19">
        <f t="shared" ref="S4:S6" si="2">Q4*R4/100</f>
        <v>0.86866952789699581</v>
      </c>
      <c r="T4" s="20">
        <f t="shared" ref="T4:T6" si="3">S4*V4</f>
        <v>868.66952789699576</v>
      </c>
      <c r="U4" s="21">
        <f t="shared" ref="U4:U6" si="4">Q4+S4</f>
        <v>1.812875536480687</v>
      </c>
      <c r="V4" s="22">
        <f t="shared" ref="V4:V9" si="5">+F4</f>
        <v>1000</v>
      </c>
      <c r="W4" s="23">
        <f>Q4*20</f>
        <v>18.884120171673821</v>
      </c>
      <c r="X4" s="24">
        <v>100</v>
      </c>
      <c r="Y4" s="25">
        <f t="shared" ref="Y4:Y6" si="6">V4*U4+W4+X4</f>
        <v>1931.7596566523609</v>
      </c>
      <c r="Z4" s="26" t="s">
        <v>41</v>
      </c>
      <c r="AA4" s="27">
        <v>230</v>
      </c>
      <c r="AB4" s="28">
        <v>1</v>
      </c>
      <c r="AC4" s="28">
        <v>1</v>
      </c>
      <c r="AD4" s="28">
        <v>1</v>
      </c>
      <c r="AE4" s="29">
        <f t="shared" ref="AE4:AE6" si="7">AA4*AB4*AC4*AD4</f>
        <v>230</v>
      </c>
      <c r="AF4" s="30">
        <v>4.8499999999999996</v>
      </c>
      <c r="AG4" s="36">
        <f>0.5%*(Y4+AE4+AF4)</f>
        <v>10.833048283261803</v>
      </c>
      <c r="AH4" s="31">
        <f t="shared" ref="AH4:AH6" si="8">Y4+AE4+AG4+AF4</f>
        <v>2177.4427049356223</v>
      </c>
      <c r="AI4" s="32">
        <f t="shared" ref="AI4:AI6" si="9">AH4/V4</f>
        <v>2.1774427049356224</v>
      </c>
      <c r="AJ4" s="33">
        <f t="shared" ref="AJ4:AJ6" si="10">AI4*18%</f>
        <v>0.39193968688841202</v>
      </c>
      <c r="AK4" s="34">
        <f t="shared" ref="AK4:AK6" si="11">AI4+AJ4</f>
        <v>2.5693823918240346</v>
      </c>
      <c r="AL4"/>
    </row>
    <row r="5" spans="1:232" s="8" customFormat="1" ht="74.25" customHeight="1" x14ac:dyDescent="0.25">
      <c r="B5" s="53"/>
      <c r="C5" s="50"/>
      <c r="D5" s="50"/>
      <c r="E5" s="47"/>
      <c r="F5" s="14">
        <v>500</v>
      </c>
      <c r="G5" s="15">
        <v>2.59</v>
      </c>
      <c r="H5" s="35" t="s">
        <v>34</v>
      </c>
      <c r="I5" s="56"/>
      <c r="J5" s="16">
        <f t="shared" si="0"/>
        <v>1295</v>
      </c>
      <c r="K5" s="43"/>
      <c r="L5" s="17">
        <f t="shared" si="1"/>
        <v>0.36562027866375701</v>
      </c>
      <c r="M5" s="59"/>
      <c r="N5" s="62"/>
      <c r="O5" s="66"/>
      <c r="P5" s="67"/>
      <c r="Q5" s="42">
        <f>1.1/1.15</f>
        <v>0.95652173913043492</v>
      </c>
      <c r="R5" s="18">
        <v>99</v>
      </c>
      <c r="S5" s="19">
        <f t="shared" ref="S5" si="12">Q5*R5/100</f>
        <v>0.94695652173913059</v>
      </c>
      <c r="T5" s="20">
        <f t="shared" ref="T5" si="13">S5*V5</f>
        <v>473.4782608695653</v>
      </c>
      <c r="U5" s="21">
        <f t="shared" ref="U5" si="14">Q5+S5</f>
        <v>1.9034782608695655</v>
      </c>
      <c r="V5" s="22">
        <f t="shared" si="5"/>
        <v>500</v>
      </c>
      <c r="W5" s="23">
        <f>Q5*15</f>
        <v>14.347826086956523</v>
      </c>
      <c r="X5" s="24">
        <v>90</v>
      </c>
      <c r="Y5" s="25">
        <f t="shared" ref="Y5" si="15">V5*U5+W5+X5</f>
        <v>1056.0869565217392</v>
      </c>
      <c r="Z5" s="26" t="s">
        <v>41</v>
      </c>
      <c r="AA5" s="27">
        <v>180</v>
      </c>
      <c r="AB5" s="28">
        <v>1</v>
      </c>
      <c r="AC5" s="28">
        <v>1</v>
      </c>
      <c r="AD5" s="28">
        <v>1</v>
      </c>
      <c r="AE5" s="29">
        <f t="shared" ref="AE5" si="16">AA5*AB5*AC5*AD5</f>
        <v>180</v>
      </c>
      <c r="AF5" s="30">
        <v>3.85</v>
      </c>
      <c r="AG5" s="36">
        <f t="shared" ref="AG5:AG9" si="17">0.5%*(Y5+AE5+AF5)</f>
        <v>6.1996847826086956</v>
      </c>
      <c r="AH5" s="31">
        <f t="shared" ref="AH5" si="18">Y5+AE5+AG5+AF5</f>
        <v>1246.1366413043479</v>
      </c>
      <c r="AI5" s="32">
        <f t="shared" ref="AI5" si="19">AH5/V5</f>
        <v>2.492273282608696</v>
      </c>
      <c r="AJ5" s="33">
        <f t="shared" ref="AJ5" si="20">AI5*18%</f>
        <v>0.44860919086956524</v>
      </c>
      <c r="AK5" s="34">
        <f t="shared" ref="AK5" si="21">AI5+AJ5</f>
        <v>2.9408824734782613</v>
      </c>
      <c r="AL5"/>
    </row>
    <row r="6" spans="1:232" s="8" customFormat="1" ht="74.25" customHeight="1" x14ac:dyDescent="0.25">
      <c r="B6" s="54"/>
      <c r="C6" s="51"/>
      <c r="D6" s="51"/>
      <c r="E6" s="48"/>
      <c r="F6" s="14">
        <v>250</v>
      </c>
      <c r="G6" s="15">
        <v>2.99</v>
      </c>
      <c r="H6" s="35" t="s">
        <v>34</v>
      </c>
      <c r="I6" s="57"/>
      <c r="J6" s="16">
        <f t="shared" si="0"/>
        <v>747.5</v>
      </c>
      <c r="K6" s="43"/>
      <c r="L6" s="17">
        <f t="shared" si="1"/>
        <v>0.34200959720808494</v>
      </c>
      <c r="M6" s="60"/>
      <c r="N6" s="63"/>
      <c r="O6" s="68"/>
      <c r="P6" s="69"/>
      <c r="Q6" s="42">
        <f>1.2/1.15</f>
        <v>1.0434782608695652</v>
      </c>
      <c r="R6" s="18">
        <v>98</v>
      </c>
      <c r="S6" s="19">
        <f t="shared" si="2"/>
        <v>1.0226086956521738</v>
      </c>
      <c r="T6" s="20">
        <f t="shared" si="3"/>
        <v>255.65217391304347</v>
      </c>
      <c r="U6" s="21">
        <f t="shared" si="4"/>
        <v>2.066086956521739</v>
      </c>
      <c r="V6" s="22">
        <f t="shared" si="5"/>
        <v>250</v>
      </c>
      <c r="W6" s="23">
        <f>Q6*10</f>
        <v>10.434782608695652</v>
      </c>
      <c r="X6" s="24">
        <v>80</v>
      </c>
      <c r="Y6" s="25">
        <f t="shared" si="6"/>
        <v>606.95652173913038</v>
      </c>
      <c r="Z6" s="26" t="s">
        <v>41</v>
      </c>
      <c r="AA6" s="27">
        <v>130</v>
      </c>
      <c r="AB6" s="28">
        <v>1</v>
      </c>
      <c r="AC6" s="28">
        <v>1</v>
      </c>
      <c r="AD6" s="28">
        <v>1</v>
      </c>
      <c r="AE6" s="29">
        <f t="shared" si="7"/>
        <v>130</v>
      </c>
      <c r="AF6" s="30">
        <v>3.85</v>
      </c>
      <c r="AG6" s="36">
        <f t="shared" si="17"/>
        <v>3.7040326086956519</v>
      </c>
      <c r="AH6" s="31">
        <f t="shared" si="8"/>
        <v>744.51055434782609</v>
      </c>
      <c r="AI6" s="32">
        <f t="shared" si="9"/>
        <v>2.9780422173913044</v>
      </c>
      <c r="AJ6" s="33">
        <f t="shared" si="10"/>
        <v>0.53604759913043476</v>
      </c>
      <c r="AK6" s="34">
        <f t="shared" si="11"/>
        <v>3.5140898165217394</v>
      </c>
      <c r="AL6"/>
    </row>
    <row r="7" spans="1:232" s="8" customFormat="1" ht="74.25" customHeight="1" x14ac:dyDescent="0.25">
      <c r="B7" s="52">
        <v>2</v>
      </c>
      <c r="C7" s="49" t="s">
        <v>43</v>
      </c>
      <c r="D7" s="49" t="s">
        <v>35</v>
      </c>
      <c r="E7" s="46" t="s">
        <v>33</v>
      </c>
      <c r="F7" s="14">
        <v>1000</v>
      </c>
      <c r="G7" s="15">
        <v>2.4900000000000002</v>
      </c>
      <c r="H7" s="35" t="s">
        <v>42</v>
      </c>
      <c r="I7" s="55" t="s">
        <v>47</v>
      </c>
      <c r="J7" s="16">
        <f t="shared" si="0"/>
        <v>2490</v>
      </c>
      <c r="K7" s="43"/>
      <c r="L7" s="17">
        <f t="shared" si="1"/>
        <v>0.37165611598938125</v>
      </c>
      <c r="M7" s="58" t="s">
        <v>44</v>
      </c>
      <c r="N7" s="61" t="s">
        <v>45</v>
      </c>
      <c r="O7" s="64" t="s">
        <v>46</v>
      </c>
      <c r="P7" s="65"/>
      <c r="Q7" s="42">
        <f>1.4/1.18</f>
        <v>1.1864406779661016</v>
      </c>
      <c r="R7" s="18">
        <v>78</v>
      </c>
      <c r="S7" s="19">
        <f t="shared" ref="S7:S9" si="22">Q7*R7/100</f>
        <v>0.92542372881355928</v>
      </c>
      <c r="T7" s="20">
        <f t="shared" ref="T7:T9" si="23">S7*V7</f>
        <v>925.42372881355925</v>
      </c>
      <c r="U7" s="21">
        <f t="shared" ref="U7:U9" si="24">Q7+S7</f>
        <v>2.1118644067796608</v>
      </c>
      <c r="V7" s="22">
        <f t="shared" si="5"/>
        <v>1000</v>
      </c>
      <c r="W7" s="23">
        <f>Q7*20</f>
        <v>23.728813559322035</v>
      </c>
      <c r="X7" s="24">
        <v>110</v>
      </c>
      <c r="Y7" s="25">
        <f t="shared" ref="Y7:Y9" si="25">V7*U7+W7+X7</f>
        <v>2245.593220338983</v>
      </c>
      <c r="Z7" s="26" t="s">
        <v>41</v>
      </c>
      <c r="AA7" s="27">
        <v>230</v>
      </c>
      <c r="AB7" s="28">
        <v>1</v>
      </c>
      <c r="AC7" s="28">
        <v>1</v>
      </c>
      <c r="AD7" s="28">
        <v>1</v>
      </c>
      <c r="AE7" s="29">
        <f t="shared" ref="AE7:AE9" si="26">AA7*AB7*AC7*AD7</f>
        <v>230</v>
      </c>
      <c r="AF7" s="30">
        <v>4.8499999999999996</v>
      </c>
      <c r="AG7" s="36">
        <f t="shared" si="17"/>
        <v>12.402216101694915</v>
      </c>
      <c r="AH7" s="31">
        <f t="shared" ref="AH7:AH9" si="27">Y7+AE7+AG7+AF7</f>
        <v>2492.845436440678</v>
      </c>
      <c r="AI7" s="32">
        <f t="shared" ref="AI7:AI9" si="28">AH7/V7</f>
        <v>2.4928454364406778</v>
      </c>
      <c r="AJ7" s="33">
        <f t="shared" ref="AJ7:AJ9" si="29">AI7*18%</f>
        <v>0.44871217855932199</v>
      </c>
      <c r="AK7" s="34">
        <f t="shared" ref="AK7:AK9" si="30">AI7+AJ7</f>
        <v>2.9415576149999998</v>
      </c>
      <c r="AL7"/>
    </row>
    <row r="8" spans="1:232" s="8" customFormat="1" ht="74.25" customHeight="1" x14ac:dyDescent="0.25">
      <c r="B8" s="53"/>
      <c r="C8" s="50"/>
      <c r="D8" s="50"/>
      <c r="E8" s="47"/>
      <c r="F8" s="14">
        <v>500</v>
      </c>
      <c r="G8" s="15">
        <v>2.69</v>
      </c>
      <c r="H8" s="35" t="s">
        <v>34</v>
      </c>
      <c r="I8" s="56"/>
      <c r="J8" s="16">
        <f t="shared" si="0"/>
        <v>1345</v>
      </c>
      <c r="K8" s="43"/>
      <c r="L8" s="17">
        <f t="shared" si="1"/>
        <v>0.33079201058534435</v>
      </c>
      <c r="M8" s="59"/>
      <c r="N8" s="62"/>
      <c r="O8" s="66"/>
      <c r="P8" s="67"/>
      <c r="Q8" s="42">
        <f>1.4/1.18</f>
        <v>1.1864406779661016</v>
      </c>
      <c r="R8" s="18">
        <v>75</v>
      </c>
      <c r="S8" s="19">
        <f t="shared" si="22"/>
        <v>0.88983050847457623</v>
      </c>
      <c r="T8" s="20">
        <f t="shared" si="23"/>
        <v>444.91525423728814</v>
      </c>
      <c r="U8" s="21">
        <f t="shared" si="24"/>
        <v>2.0762711864406778</v>
      </c>
      <c r="V8" s="22">
        <f t="shared" si="5"/>
        <v>500</v>
      </c>
      <c r="W8" s="23">
        <f>Q8*15</f>
        <v>17.796610169491526</v>
      </c>
      <c r="X8" s="24">
        <v>100</v>
      </c>
      <c r="Y8" s="25">
        <f t="shared" si="25"/>
        <v>1155.9322033898304</v>
      </c>
      <c r="Z8" s="26" t="s">
        <v>41</v>
      </c>
      <c r="AA8" s="27">
        <v>180</v>
      </c>
      <c r="AB8" s="28">
        <v>1</v>
      </c>
      <c r="AC8" s="28">
        <v>1</v>
      </c>
      <c r="AD8" s="28">
        <v>1</v>
      </c>
      <c r="AE8" s="29">
        <f t="shared" si="26"/>
        <v>180</v>
      </c>
      <c r="AF8" s="30">
        <v>3.85</v>
      </c>
      <c r="AG8" s="36">
        <f t="shared" si="17"/>
        <v>6.6989110169491521</v>
      </c>
      <c r="AH8" s="31">
        <f t="shared" si="27"/>
        <v>1346.4811144067794</v>
      </c>
      <c r="AI8" s="32">
        <f t="shared" si="28"/>
        <v>2.6929622288135588</v>
      </c>
      <c r="AJ8" s="33">
        <f t="shared" si="29"/>
        <v>0.48473320118644059</v>
      </c>
      <c r="AK8" s="34">
        <f t="shared" si="30"/>
        <v>3.1776954299999995</v>
      </c>
      <c r="AL8"/>
    </row>
    <row r="9" spans="1:232" s="8" customFormat="1" ht="74.25" customHeight="1" x14ac:dyDescent="0.25">
      <c r="B9" s="54"/>
      <c r="C9" s="51"/>
      <c r="D9" s="51"/>
      <c r="E9" s="48"/>
      <c r="F9" s="14">
        <v>250</v>
      </c>
      <c r="G9" s="15">
        <v>3.19</v>
      </c>
      <c r="H9" s="35" t="s">
        <v>34</v>
      </c>
      <c r="I9" s="57"/>
      <c r="J9" s="16">
        <f t="shared" si="0"/>
        <v>797.5</v>
      </c>
      <c r="K9" s="43"/>
      <c r="L9" s="17">
        <f t="shared" si="1"/>
        <v>0.32729398012857974</v>
      </c>
      <c r="M9" s="60"/>
      <c r="N9" s="63"/>
      <c r="O9" s="68"/>
      <c r="P9" s="69"/>
      <c r="Q9" s="42">
        <f>1.4/1.18</f>
        <v>1.1864406779661016</v>
      </c>
      <c r="R9" s="18">
        <v>88</v>
      </c>
      <c r="S9" s="19">
        <f t="shared" si="22"/>
        <v>1.0440677966101695</v>
      </c>
      <c r="T9" s="20">
        <f t="shared" si="23"/>
        <v>261.01694915254234</v>
      </c>
      <c r="U9" s="21">
        <f t="shared" si="24"/>
        <v>2.2305084745762711</v>
      </c>
      <c r="V9" s="22">
        <f t="shared" si="5"/>
        <v>250</v>
      </c>
      <c r="W9" s="23">
        <f>Q9*10</f>
        <v>11.864406779661017</v>
      </c>
      <c r="X9" s="24">
        <v>90</v>
      </c>
      <c r="Y9" s="25">
        <f t="shared" si="25"/>
        <v>659.49152542372883</v>
      </c>
      <c r="Z9" s="26" t="s">
        <v>41</v>
      </c>
      <c r="AA9" s="27">
        <v>130</v>
      </c>
      <c r="AB9" s="28">
        <v>1</v>
      </c>
      <c r="AC9" s="28">
        <v>1</v>
      </c>
      <c r="AD9" s="28">
        <v>1</v>
      </c>
      <c r="AE9" s="29">
        <f t="shared" si="26"/>
        <v>130</v>
      </c>
      <c r="AF9" s="30">
        <v>3.85</v>
      </c>
      <c r="AG9" s="36">
        <f t="shared" si="17"/>
        <v>3.9667076271186446</v>
      </c>
      <c r="AH9" s="31">
        <f t="shared" si="27"/>
        <v>797.30823305084755</v>
      </c>
      <c r="AI9" s="32">
        <f t="shared" si="28"/>
        <v>3.1892329322033901</v>
      </c>
      <c r="AJ9" s="33">
        <f t="shared" si="29"/>
        <v>0.57406192779661025</v>
      </c>
      <c r="AK9" s="34">
        <f t="shared" si="30"/>
        <v>3.7632948600000002</v>
      </c>
      <c r="AL9"/>
    </row>
  </sheetData>
  <mergeCells count="17">
    <mergeCell ref="M4:M6"/>
    <mergeCell ref="N4:N6"/>
    <mergeCell ref="O4:P6"/>
    <mergeCell ref="B7:B9"/>
    <mergeCell ref="C7:C9"/>
    <mergeCell ref="D7:D9"/>
    <mergeCell ref="E7:E9"/>
    <mergeCell ref="I7:I9"/>
    <mergeCell ref="M7:M9"/>
    <mergeCell ref="N7:N9"/>
    <mergeCell ref="O7:P9"/>
    <mergeCell ref="B2:J2"/>
    <mergeCell ref="E4:E6"/>
    <mergeCell ref="D4:D6"/>
    <mergeCell ref="C4:C6"/>
    <mergeCell ref="B4:B6"/>
    <mergeCell ref="I4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 Diana Orellana Estrada</dc:creator>
  <cp:lastModifiedBy>Lady Diana Orellana Estrada</cp:lastModifiedBy>
  <dcterms:created xsi:type="dcterms:W3CDTF">2025-09-09T16:01:27Z</dcterms:created>
  <dcterms:modified xsi:type="dcterms:W3CDTF">2026-06-04T17:14:02Z</dcterms:modified>
</cp:coreProperties>
</file>