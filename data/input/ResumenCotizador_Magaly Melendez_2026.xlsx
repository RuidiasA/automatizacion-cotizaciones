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_Persona Natural/2026/MAGALY MELENDEZ/"/>
    </mc:Choice>
  </mc:AlternateContent>
  <xr:revisionPtr revIDLastSave="1" documentId="8_{BC235525-B6A7-40D9-A8D6-941DA1A69B38}" xr6:coauthVersionLast="47" xr6:coauthVersionMax="47" xr10:uidLastSave="{243CCE4F-3867-4405-94E3-6C33AE53D536}"/>
  <bookViews>
    <workbookView xWindow="-120" yWindow="-120" windowWidth="29040" windowHeight="15720" xr2:uid="{829BB2F3-D790-450D-BD00-0B9EB5EA9C68}"/>
  </bookViews>
  <sheets>
    <sheet name="FEBRERO" sheetId="1" r:id="rId1"/>
  </sheets>
  <externalReferences>
    <externalReference r:id="rId2"/>
    <externalReference r:id="rId3"/>
  </externalReferences>
  <definedNames>
    <definedName name="ANALISIS">[1]LISTAS!$I$20:$I$27</definedName>
    <definedName name="ANALISIS1">[2]LISTAS!$I$20:$I$27</definedName>
    <definedName name="_xlnm.Print_Area" localSheetId="0">FEBRERO!#REF!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6" i="1"/>
  <c r="AF4" i="1"/>
  <c r="X5" i="1"/>
  <c r="AE4" i="1"/>
  <c r="V4" i="1"/>
  <c r="Q4" i="1"/>
  <c r="S4" i="1" s="1"/>
  <c r="J4" i="1"/>
  <c r="AE3" i="1"/>
  <c r="V3" i="1"/>
  <c r="Q3" i="1"/>
  <c r="W3" i="1" s="1"/>
  <c r="J3" i="1"/>
  <c r="Q11" i="1"/>
  <c r="X13" i="1"/>
  <c r="Q12" i="1"/>
  <c r="W12" i="1" s="1"/>
  <c r="W11" i="1"/>
  <c r="AE12" i="1"/>
  <c r="V12" i="1"/>
  <c r="AE11" i="1"/>
  <c r="V11" i="1"/>
  <c r="S11" i="1"/>
  <c r="W4" i="1" l="1"/>
  <c r="J5" i="1"/>
  <c r="U4" i="1"/>
  <c r="Y4" i="1" s="1"/>
  <c r="T4" i="1"/>
  <c r="L4" i="1" s="1"/>
  <c r="S3" i="1"/>
  <c r="T3" i="1" s="1"/>
  <c r="T11" i="1"/>
  <c r="U11" i="1"/>
  <c r="Y11" i="1" s="1"/>
  <c r="AG11" i="1" s="1"/>
  <c r="S12" i="1"/>
  <c r="U12" i="1" s="1"/>
  <c r="Y12" i="1" s="1"/>
  <c r="AG12" i="1" s="1"/>
  <c r="T5" i="1" l="1"/>
  <c r="L3" i="1"/>
  <c r="AG4" i="1"/>
  <c r="AH4" i="1" s="1"/>
  <c r="AI4" i="1" s="1"/>
  <c r="U3" i="1"/>
  <c r="Y3" i="1" s="1"/>
  <c r="T12" i="1"/>
  <c r="T13" i="1" s="1"/>
  <c r="AH11" i="1"/>
  <c r="AI11" i="1" s="1"/>
  <c r="AH12" i="1"/>
  <c r="AI12" i="1" s="1"/>
  <c r="AJ4" i="1" l="1"/>
  <c r="AK4" i="1" s="1"/>
  <c r="AG3" i="1"/>
  <c r="AH3" i="1" s="1"/>
  <c r="AI3" i="1" s="1"/>
  <c r="AJ11" i="1"/>
  <c r="AK11" i="1" s="1"/>
  <c r="J11" i="1"/>
  <c r="AJ12" i="1"/>
  <c r="AK12" i="1" s="1"/>
  <c r="J12" i="1"/>
  <c r="L12" i="1" s="1"/>
  <c r="AJ3" i="1" l="1"/>
  <c r="AK3" i="1" s="1"/>
  <c r="L11" i="1"/>
  <c r="J13" i="1"/>
</calcChain>
</file>

<file path=xl/sharedStrings.xml><?xml version="1.0" encoding="utf-8"?>
<sst xmlns="http://schemas.openxmlformats.org/spreadsheetml/2006/main" count="94" uniqueCount="45">
  <si>
    <t>COTIZACIÓN PROPUESTA_MAGALY MELENDEZ_19.03.26</t>
  </si>
  <si>
    <t>Nº</t>
  </si>
  <si>
    <t>Cód. Artíc.</t>
  </si>
  <si>
    <t>Foto</t>
  </si>
  <si>
    <t xml:space="preserve">Cant. </t>
  </si>
  <si>
    <t>Costo Uni
NO IGV (S/.)</t>
  </si>
  <si>
    <t>Tiempo Entrega</t>
  </si>
  <si>
    <t>Detalles</t>
  </si>
  <si>
    <t>Costo Total
NO IGV (S/.)</t>
  </si>
  <si>
    <t>proveedor</t>
  </si>
  <si>
    <t>Cod. Prod. Prov.</t>
  </si>
  <si>
    <t>Observaciones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</si>
  <si>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</si>
  <si>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</si>
  <si>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</si>
  <si>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</si>
  <si>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</si>
  <si>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</si>
  <si>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</si>
  <si>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</si>
  <si>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</si>
  <si>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</si>
  <si>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</si>
  <si>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</si>
  <si>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</si>
  <si>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</si>
  <si>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</si>
  <si>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</si>
  <si>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</si>
  <si>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</si>
  <si>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</si>
  <si>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</si>
  <si>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</si>
  <si>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TAZA CLASICA NEGRO</t>
  </si>
  <si>
    <t>Imagen Referencial</t>
  </si>
  <si>
    <t>6 a 7 Días útiles</t>
  </si>
  <si>
    <r>
      <rPr>
        <b/>
        <u/>
        <sz val="16"/>
        <color rgb="FF000000"/>
        <rFont val="Arial"/>
        <family val="2"/>
      </rPr>
      <t>TAZA CLASICA NEGRO</t>
    </r>
    <r>
      <rPr>
        <sz val="16"/>
        <color rgb="FF000000"/>
        <rFont val="Arial"/>
        <family val="2"/>
      </rPr>
      <t xml:space="preserve">
Material: Ceramica
Capacidad: 11 onzas
Modelo cilindrico con asa. Acabado brilloso.
Color: Negro
Presentación:</t>
    </r>
    <r>
      <rPr>
        <u/>
        <sz val="16"/>
        <color rgb="FF000000"/>
        <rFont val="Arial"/>
        <family val="2"/>
      </rPr>
      <t xml:space="preserve"> Sin caja individual</t>
    </r>
    <r>
      <rPr>
        <sz val="16"/>
        <color rgb="FF000000"/>
        <rFont val="Arial"/>
        <family val="2"/>
      </rPr>
      <t xml:space="preserve">. Caja grupal.
</t>
    </r>
    <r>
      <rPr>
        <b/>
        <sz val="16"/>
        <color rgb="FFFF0000"/>
        <rFont val="Arial"/>
        <family val="2"/>
      </rPr>
      <t>*Incluye 2 logos a 1 color en ambas cara de la taza. 
En serigrafia y al horno
* Arte y diseño facilitado por el cliente.</t>
    </r>
  </si>
  <si>
    <t>KARLOS 
CERAMICA</t>
  </si>
  <si>
    <t>INCLUYE</t>
  </si>
  <si>
    <t>TAZA SUBLIMACIÓN</t>
  </si>
  <si>
    <r>
      <rPr>
        <b/>
        <u/>
        <sz val="16"/>
        <color rgb="FF000000"/>
        <rFont val="Arial"/>
        <family val="2"/>
      </rPr>
      <t>TAZA SUBLIMACIÓN</t>
    </r>
    <r>
      <rPr>
        <sz val="16"/>
        <color rgb="FF000000"/>
        <rFont val="Arial"/>
        <family val="2"/>
      </rPr>
      <t xml:space="preserve">
Material: Ceramica
Capacidad: 11 onzas
Modelo cilindrico con asa
Color: Blanco
Presentación: Caja individual. Caja grupal.
</t>
    </r>
    <r>
      <rPr>
        <b/>
        <sz val="16"/>
        <color rgb="FFFF0000"/>
        <rFont val="Arial"/>
        <family val="2"/>
      </rPr>
      <t>*Incluye 2 logos a full color alrededor de la taza.
En sublimación
* Arte y diseño facilitado por el cliente.</t>
    </r>
  </si>
  <si>
    <t>MIGUEL ESCORSA</t>
  </si>
  <si>
    <t>SUBTOTAL SIN IGV</t>
  </si>
  <si>
    <t xml:space="preserve">IGV </t>
  </si>
  <si>
    <t>TOTAL FACTURADO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</si>
</sst>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/.&quot;\ #,##0.00"/>
    <numFmt numFmtId="165" formatCode="[$S/.-280A]\ #,##0.00"/>
    <numFmt numFmtId="166" formatCode="_-[$$-409]* #,##0.00_ ;_-[$$-409]* \-#,##0.00\ ;_-[$$-409]* &quot;-&quot;??_ ;_-@_ "/>
  </numFmts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6"/>
      <color rgb="FF000000"/>
      <name val="Arial"/>
      <family val="2"/>
    </font>
    <font>
      <sz val="10"/>
      <name val="Arial"/>
      <family val="2"/>
      <charset val="1"/>
    </font>
    <font>
      <b/>
      <sz val="18"/>
      <color rgb="FFFFFFFF"/>
      <name val="Arial"/>
      <family val="2"/>
      <charset val="1"/>
    </font>
    <font>
      <b/>
      <sz val="18"/>
      <name val="Arial"/>
      <family val="2"/>
      <charset val="1"/>
    </font>
    <font>
      <sz val="16"/>
      <color theme="1"/>
      <name val="Aptos Narrow"/>
      <family val="2"/>
      <scheme val="minor"/>
    </font>
    <font>
      <sz val="16"/>
      <name val="Arial"/>
      <family val="2"/>
    </font>
    <font>
      <b/>
      <sz val="16"/>
      <color theme="1"/>
      <name val="Arial"/>
      <family val="2"/>
    </font>
    <font>
      <sz val="14"/>
      <color rgb="FFFF0000"/>
      <name val="Arial"/>
      <family val="2"/>
    </font>
    <font>
      <b/>
      <sz val="18"/>
      <color theme="1"/>
      <name val="Arial"/>
      <family val="2"/>
    </font>
    <font>
      <sz val="16"/>
      <color rgb="FF000000"/>
      <name val="Arial"/>
      <family val="2"/>
    </font>
    <font>
      <b/>
      <u/>
      <sz val="16"/>
      <color rgb="FF000000"/>
      <name val="Arial"/>
      <family val="2"/>
    </font>
    <font>
      <b/>
      <sz val="18"/>
      <name val="Arial"/>
      <family val="2"/>
    </font>
    <font>
      <sz val="18"/>
      <color theme="1"/>
      <name val="Aptos Narrow"/>
      <family val="2"/>
      <scheme val="minor"/>
    </font>
    <font>
      <sz val="16"/>
      <color indexed="8"/>
      <name val="Arial"/>
      <family val="2"/>
    </font>
    <font>
      <sz val="12"/>
      <color indexed="8"/>
      <name val="Arial"/>
      <family val="2"/>
    </font>
    <font>
      <sz val="16"/>
      <color theme="1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b/>
      <sz val="16"/>
      <color indexed="10"/>
      <name val="Arial"/>
      <family val="2"/>
    </font>
    <font>
      <sz val="16"/>
      <color indexed="10"/>
      <name val="Arial"/>
      <family val="2"/>
    </font>
    <font>
      <b/>
      <sz val="16"/>
      <color rgb="FFFF0000"/>
      <name val="Arial"/>
      <family val="2"/>
    </font>
    <font>
      <b/>
      <sz val="16"/>
      <color theme="0"/>
      <name val="Arial"/>
      <family val="2"/>
    </font>
    <font>
      <sz val="14"/>
      <name val="Arial"/>
      <family val="2"/>
    </font>
    <font>
      <sz val="2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52"/>
      <name val="Tahoma"/>
      <family val="2"/>
      <charset val="1"/>
    </font>
    <font>
      <u/>
      <sz val="16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FFCC00"/>
      </patternFill>
    </fill>
    <fill>
      <patternFill patternType="solid">
        <fgColor rgb="FF003366"/>
        <bgColor rgb="FF333399"/>
      </patternFill>
    </fill>
    <fill>
      <patternFill patternType="solid">
        <fgColor rgb="FFFFFF00"/>
        <bgColor rgb="FFFFCC00"/>
      </patternFill>
    </fill>
    <fill>
      <patternFill patternType="solid">
        <fgColor rgb="FFFF0000"/>
        <bgColor rgb="FFC00000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166" fontId="30" fillId="0" borderId="0" applyFont="0" applyFill="0" applyBorder="0" applyAlignment="0" applyProtection="0"/>
    <xf numFmtId="0" fontId="31" fillId="0" borderId="4" applyProtection="0">
      <alignment vertical="center"/>
    </xf>
    <xf numFmtId="0" fontId="30" fillId="0" borderId="0"/>
  </cellStyleXfs>
  <cellXfs count="52">
    <xf numFmtId="0" fontId="0" fillId="0" borderId="0" xfId="0"/>
    <xf numFmtId="0" fontId="4" fillId="0" borderId="0" xfId="3" applyFont="1"/>
    <xf numFmtId="0" fontId="4" fillId="3" borderId="0" xfId="3" applyFont="1" applyFill="1"/>
    <xf numFmtId="0" fontId="4" fillId="3" borderId="0" xfId="3" applyFont="1" applyFill="1" applyAlignment="1">
      <alignment horizontal="center"/>
    </xf>
    <xf numFmtId="0" fontId="4" fillId="3" borderId="0" xfId="3" applyFont="1" applyFill="1" applyAlignment="1">
      <alignment horizontal="left" vertical="center"/>
    </xf>
    <xf numFmtId="0" fontId="4" fillId="3" borderId="0" xfId="3" applyFont="1" applyFill="1" applyAlignment="1">
      <alignment wrapText="1"/>
    </xf>
    <xf numFmtId="0" fontId="6" fillId="0" borderId="0" xfId="2" applyNumberFormat="1" applyFont="1" applyFill="1" applyBorder="1" applyAlignment="1"/>
    <xf numFmtId="0" fontId="5" fillId="4" borderId="1" xfId="2" applyNumberFormat="1" applyFont="1" applyFill="1" applyBorder="1" applyAlignment="1">
      <alignment horizontal="center" vertical="center" wrapText="1"/>
    </xf>
    <xf numFmtId="0" fontId="7" fillId="5" borderId="1" xfId="2" applyNumberFormat="1" applyFont="1" applyFill="1" applyBorder="1" applyAlignment="1">
      <alignment horizontal="center" vertical="center" wrapText="1"/>
    </xf>
    <xf numFmtId="0" fontId="8" fillId="6" borderId="1" xfId="2" applyNumberFormat="1" applyFont="1" applyFill="1" applyBorder="1" applyAlignment="1">
      <alignment horizontal="center" vertical="center" wrapText="1"/>
    </xf>
    <xf numFmtId="0" fontId="8" fillId="4" borderId="1" xfId="2" applyNumberFormat="1" applyFont="1" applyFill="1" applyBorder="1" applyAlignment="1">
      <alignment horizontal="center" vertical="center" wrapText="1"/>
    </xf>
    <xf numFmtId="0" fontId="7" fillId="7" borderId="1" xfId="2" applyNumberFormat="1" applyFont="1" applyFill="1" applyBorder="1" applyAlignment="1">
      <alignment horizontal="center" vertical="center" wrapText="1"/>
    </xf>
    <xf numFmtId="9" fontId="7" fillId="7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9" fillId="0" borderId="0" xfId="0" applyFont="1" applyAlignment="1">
      <alignment horizontal="center"/>
    </xf>
    <xf numFmtId="0" fontId="13" fillId="0" borderId="1" xfId="5" applyFont="1" applyBorder="1" applyAlignment="1">
      <alignment horizontal="center" vertical="center"/>
    </xf>
    <xf numFmtId="164" fontId="13" fillId="3" borderId="1" xfId="3" applyNumberFormat="1" applyFont="1" applyFill="1" applyBorder="1" applyAlignment="1">
      <alignment horizontal="center" vertical="center"/>
    </xf>
    <xf numFmtId="164" fontId="16" fillId="0" borderId="1" xfId="3" applyNumberFormat="1" applyFont="1" applyBorder="1" applyAlignment="1">
      <alignment horizontal="center" vertical="center"/>
    </xf>
    <xf numFmtId="9" fontId="17" fillId="0" borderId="0" xfId="1" applyFont="1" applyAlignment="1">
      <alignment horizontal="center" vertical="center" wrapText="1"/>
    </xf>
    <xf numFmtId="165" fontId="20" fillId="3" borderId="1" xfId="3" applyNumberFormat="1" applyFont="1" applyFill="1" applyBorder="1" applyAlignment="1">
      <alignment horizontal="center" vertical="center" wrapText="1"/>
    </xf>
    <xf numFmtId="0" fontId="4" fillId="9" borderId="1" xfId="3" applyFont="1" applyFill="1" applyBorder="1" applyAlignment="1">
      <alignment horizontal="center" vertical="center"/>
    </xf>
    <xf numFmtId="165" fontId="18" fillId="10" borderId="1" xfId="3" applyNumberFormat="1" applyFont="1" applyFill="1" applyBorder="1" applyAlignment="1">
      <alignment horizontal="center" vertical="center"/>
    </xf>
    <xf numFmtId="164" fontId="21" fillId="10" borderId="1" xfId="3" applyNumberFormat="1" applyFont="1" applyFill="1" applyBorder="1" applyAlignment="1">
      <alignment horizontal="center" vertical="center"/>
    </xf>
    <xf numFmtId="164" fontId="22" fillId="10" borderId="1" xfId="3" applyNumberFormat="1" applyFont="1" applyFill="1" applyBorder="1" applyAlignment="1">
      <alignment horizontal="center" vertical="center"/>
    </xf>
    <xf numFmtId="164" fontId="20" fillId="11" borderId="1" xfId="3" applyNumberFormat="1" applyFont="1" applyFill="1" applyBorder="1" applyAlignment="1">
      <alignment horizontal="center" vertical="center"/>
    </xf>
    <xf numFmtId="164" fontId="18" fillId="3" borderId="1" xfId="3" applyNumberFormat="1" applyFont="1" applyFill="1" applyBorder="1" applyAlignment="1">
      <alignment horizontal="center" vertical="center"/>
    </xf>
    <xf numFmtId="164" fontId="23" fillId="8" borderId="1" xfId="3" applyNumberFormat="1" applyFont="1" applyFill="1" applyBorder="1" applyAlignment="1">
      <alignment horizontal="center" vertical="center"/>
    </xf>
    <xf numFmtId="164" fontId="18" fillId="9" borderId="1" xfId="3" applyNumberFormat="1" applyFont="1" applyFill="1" applyBorder="1" applyAlignment="1">
      <alignment horizontal="center" vertical="center"/>
    </xf>
    <xf numFmtId="0" fontId="18" fillId="9" borderId="1" xfId="3" applyFont="1" applyFill="1" applyBorder="1" applyAlignment="1">
      <alignment horizontal="center" vertical="center"/>
    </xf>
    <xf numFmtId="164" fontId="24" fillId="8" borderId="1" xfId="3" applyNumberFormat="1" applyFont="1" applyFill="1" applyBorder="1" applyAlignment="1">
      <alignment horizontal="center" vertical="center"/>
    </xf>
    <xf numFmtId="164" fontId="25" fillId="13" borderId="1" xfId="0" applyNumberFormat="1" applyFont="1" applyFill="1" applyBorder="1" applyAlignment="1">
      <alignment horizontal="center" vertical="center"/>
    </xf>
    <xf numFmtId="164" fontId="20" fillId="0" borderId="1" xfId="3" applyNumberFormat="1" applyFont="1" applyBorder="1" applyAlignment="1">
      <alignment horizontal="center" vertical="center"/>
    </xf>
    <xf numFmtId="164" fontId="26" fillId="14" borderId="1" xfId="3" applyNumberFormat="1" applyFont="1" applyFill="1" applyBorder="1" applyAlignment="1">
      <alignment horizontal="center" vertical="center"/>
    </xf>
    <xf numFmtId="165" fontId="20" fillId="3" borderId="1" xfId="6" applyNumberFormat="1" applyFont="1" applyFill="1" applyBorder="1" applyAlignment="1">
      <alignment horizontal="center" vertical="center"/>
    </xf>
    <xf numFmtId="165" fontId="11" fillId="3" borderId="1" xfId="3" applyNumberFormat="1" applyFont="1" applyFill="1" applyBorder="1" applyAlignment="1">
      <alignment horizontal="center" vertical="center"/>
    </xf>
    <xf numFmtId="0" fontId="27" fillId="0" borderId="0" xfId="3" applyFont="1"/>
    <xf numFmtId="0" fontId="28" fillId="0" borderId="0" xfId="0" applyFont="1"/>
    <xf numFmtId="0" fontId="29" fillId="0" borderId="0" xfId="0" applyFont="1"/>
    <xf numFmtId="0" fontId="9" fillId="0" borderId="0" xfId="0" applyFont="1"/>
    <xf numFmtId="0" fontId="10" fillId="3" borderId="1" xfId="3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/>
    </xf>
    <xf numFmtId="0" fontId="14" fillId="0" borderId="1" xfId="3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49" fontId="4" fillId="8" borderId="1" xfId="3" applyNumberFormat="1" applyFont="1" applyFill="1" applyBorder="1" applyAlignment="1">
      <alignment horizontal="center" vertical="center" wrapText="1"/>
    </xf>
    <xf numFmtId="0" fontId="5" fillId="2" borderId="5" xfId="3" applyFont="1" applyFill="1" applyBorder="1" applyAlignment="1">
      <alignment horizontal="center" vertical="center" wrapText="1"/>
    </xf>
    <xf numFmtId="0" fontId="5" fillId="2" borderId="6" xfId="3" applyFont="1" applyFill="1" applyBorder="1" applyAlignment="1">
      <alignment horizontal="center" vertical="center" wrapText="1"/>
    </xf>
    <xf numFmtId="0" fontId="5" fillId="2" borderId="7" xfId="3" applyFont="1" applyFill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wrapText="1"/>
    </xf>
    <xf numFmtId="0" fontId="14" fillId="0" borderId="2" xfId="2" applyNumberFormat="1" applyFont="1" applyFill="1" applyBorder="1" applyAlignment="1">
      <alignment horizontal="center" vertical="center" wrapText="1"/>
    </xf>
    <xf numFmtId="0" fontId="14" fillId="0" borderId="3" xfId="2" applyNumberFormat="1" applyFont="1" applyFill="1" applyBorder="1" applyAlignment="1">
      <alignment horizontal="center" vertical="center" wrapText="1"/>
    </xf>
    <xf numFmtId="164" fontId="18" fillId="12" borderId="1" xfId="3" applyNumberFormat="1" applyFont="1" applyFill="1" applyBorder="1" applyAlignment="1">
      <alignment horizontal="center" vertical="center" wrapText="1"/>
    </xf>
  </cellXfs>
  <cellStyles count="10">
    <cellStyle name="Excel Built-in Explanatory Text" xfId="8" xr:uid="{6856EB0E-CF1A-4828-87C8-A738F724960D}"/>
    <cellStyle name="Millares 2 2 3 2 2 2 2 2 2 2" xfId="7" xr:uid="{2B055B2F-DB71-4DED-81BE-CAE27D21ED97}"/>
    <cellStyle name="Normal" xfId="0" builtinId="0"/>
    <cellStyle name="Normal 2 2" xfId="3" xr:uid="{B4290B02-5E7F-40D5-B713-E040620DCDFB}"/>
    <cellStyle name="Normal 2 3 2 2 4" xfId="4" xr:uid="{38A20DFF-4E80-4E55-B465-39F417572CED}"/>
    <cellStyle name="Normal 3 3 2 5" xfId="5" xr:uid="{29D62F93-DD79-4C07-99EF-D690D4730E08}"/>
    <cellStyle name="Normal 3 4 2 2" xfId="9" xr:uid="{66A2A915-7450-427C-897F-3762C0747E14}"/>
    <cellStyle name="Normal 3 4 2 4 2" xfId="6" xr:uid="{43CCCA02-4966-46A4-9974-466346C56DF9}"/>
    <cellStyle name="Porcentaje" xfId="1" builtinId="5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587375</xdr:colOff>
      <xdr:row>10</xdr:row>
      <xdr:rowOff>444500</xdr:rowOff>
    </xdr:from>
    <xdr:to>
      <xdr:col>4</xdr:col>
      <xdr:colOff>3763709</xdr:colOff>
      <xdr:row>10</xdr:row>
      <xdr:rowOff>2301875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3444B216-1FE6-83EA-CB72-B3BACAEB0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9375" y="1857375"/>
          <a:ext cx="3176334" cy="1857375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333376</xdr:colOff>
      <xdr:row>11</xdr:row>
      <xdr:rowOff>460375</xdr:rowOff>
    </xdr:from>
    <xdr:to>
      <xdr:col>4</xdr:col>
      <xdr:colOff>3980062</xdr:colOff>
      <xdr:row>11</xdr:row>
      <xdr:rowOff>2286000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423CDEDB-456C-3926-5C58-8949776B8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35376" y="4651375"/>
          <a:ext cx="3646686" cy="1825625"/>
        </a:xfrm>
        <a:prstGeom prst="rect">
          <a:avLst/>
        </a:prstGeom>
      </xdr:spPr>
    </xdr:pic>
    <xdr:clientData/>
  </xdr:twoCellAnchor>
  <xdr:oneCellAnchor>
    <xdr:from>
      <xdr:col>4</xdr:col>
      <xdr:colOff>587375</xdr:colOff>
      <xdr:row>2</xdr:row>
      <xdr:rowOff>444500</xdr:rowOff>
    </xdr:from>
    <xdr:ext cx="3176334" cy="1857375"/>
    <xdr:pic>
      <xdr:nvPicPr>
        <xdr:cNvPr id="2" name="Imagen 1">
          <a:extLst>
            <a:ext uri="{FF2B5EF4-FFF2-40B4-BE49-F238E27FC236}">
              <a16:creationId xmlns:a16="http://schemas.microsoft.com/office/drawing/2014/main" id="{0B2C3668-FC43-471F-8C3B-707BF8BCA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9375" y="3476625"/>
          <a:ext cx="3176334" cy="1857375"/>
        </a:xfrm>
        <a:prstGeom prst="rect">
          <a:avLst/>
        </a:prstGeom>
      </xdr:spPr>
    </xdr:pic>
    <xdr:clientData/>
  </xdr:oneCellAnchor>
  <xdr:oneCellAnchor>
    <xdr:from>
      <xdr:col>4</xdr:col>
      <xdr:colOff>333376</xdr:colOff>
      <xdr:row>3</xdr:row>
      <xdr:rowOff>460375</xdr:rowOff>
    </xdr:from>
    <xdr:ext cx="3646686" cy="1825625"/>
    <xdr:pic>
      <xdr:nvPicPr>
        <xdr:cNvPr id="3" name="Imagen 2">
          <a:extLst>
            <a:ext uri="{FF2B5EF4-FFF2-40B4-BE49-F238E27FC236}">
              <a16:creationId xmlns:a16="http://schemas.microsoft.com/office/drawing/2014/main" id="{6E8BB198-32D0-4CA6-BC26-8BD9A6052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35376" y="6270625"/>
          <a:ext cx="3646686" cy="18256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D6A8-6723-4F08-B729-06F21D504A6A}">
  <sheetPr>
    <pageSetUpPr fitToPage="1"/>
  </sheetPr>
  <dimension ref="A1:FO13"/>
  <sheetViews>
    <sheetView showGridLines="0" tabSelected="1" topLeftCell="A3" zoomScale="60" zoomScaleNormal="60" workbookViewId="0">
      <selection activeCell="B1" sqref="B1:J7"/>
    </sheetView>
  </sheetViews>
  <sheetFormatPr defaultColWidth="11.42578125" defaultRowHeight="21"/>
  <cols>
    <col min="1" max="1" width="3.42578125" customWidth="1"/>
    <col min="2" max="2" width="5.42578125" style="38" customWidth="1"/>
    <col min="3" max="3" width="16" style="38" customWidth="1"/>
    <col min="4" max="4" width="24.7109375" style="38" customWidth="1"/>
    <col min="5" max="5" width="62" customWidth="1"/>
    <col min="6" max="6" width="12.7109375" style="38" customWidth="1"/>
    <col min="7" max="7" width="26.28515625" style="38" customWidth="1"/>
    <col min="8" max="8" width="20.85546875" style="38" customWidth="1"/>
    <col min="9" max="9" width="83.5703125" customWidth="1"/>
    <col min="10" max="10" width="30.28515625" customWidth="1"/>
    <col min="11" max="11" width="11.140625" customWidth="1"/>
    <col min="12" max="12" width="10.42578125" customWidth="1"/>
    <col min="13" max="13" width="25.85546875" style="14" customWidth="1"/>
    <col min="14" max="14" width="16" style="14" customWidth="1"/>
    <col min="15" max="15" width="27.85546875" style="38" customWidth="1"/>
    <col min="16" max="16" width="14.140625" customWidth="1"/>
    <col min="17" max="17" width="20.140625" style="38" customWidth="1"/>
    <col min="18" max="18" width="11.85546875" style="38" customWidth="1"/>
    <col min="19" max="19" width="19.42578125" style="38" bestFit="1" customWidth="1"/>
    <col min="20" max="20" width="28.42578125" style="38" bestFit="1" customWidth="1"/>
    <col min="21" max="21" width="17.28515625" style="38" bestFit="1" customWidth="1"/>
    <col min="22" max="22" width="22" style="38" customWidth="1"/>
    <col min="23" max="23" width="26.28515625" style="38" customWidth="1"/>
    <col min="24" max="24" width="32.28515625" style="38" customWidth="1"/>
    <col min="25" max="25" width="30.5703125" style="38" bestFit="1" customWidth="1"/>
    <col min="26" max="26" width="27.7109375" style="38" customWidth="1"/>
    <col min="27" max="27" width="20.140625" style="38" customWidth="1"/>
    <col min="28" max="28" width="20.85546875" style="38" bestFit="1" customWidth="1"/>
    <col min="29" max="29" width="21.5703125" style="38" bestFit="1" customWidth="1"/>
    <col min="30" max="30" width="24.7109375" style="38" bestFit="1" customWidth="1"/>
    <col min="31" max="31" width="20.42578125" style="38" customWidth="1"/>
    <col min="32" max="32" width="23.85546875" style="38" customWidth="1"/>
    <col min="33" max="33" width="29.42578125" style="38" customWidth="1"/>
    <col min="34" max="34" width="27.7109375" style="38" customWidth="1"/>
    <col min="35" max="35" width="20.5703125" style="38" customWidth="1"/>
    <col min="36" max="36" width="22" style="38" customWidth="1"/>
    <col min="37" max="37" width="23" style="38" customWidth="1"/>
    <col min="38" max="170" width="11.42578125" style="13"/>
  </cols>
  <sheetData>
    <row r="1" spans="1:171" ht="20.25" customHeight="1">
      <c r="A1" s="1"/>
      <c r="B1" s="45" t="s">
        <v>0</v>
      </c>
      <c r="C1" s="46"/>
      <c r="D1" s="46"/>
      <c r="E1" s="46"/>
      <c r="F1" s="46"/>
      <c r="G1" s="46"/>
      <c r="H1" s="46"/>
      <c r="I1" s="46"/>
      <c r="J1" s="47"/>
      <c r="K1" s="2"/>
      <c r="L1" s="2"/>
      <c r="M1" s="3"/>
      <c r="N1" s="3"/>
      <c r="O1" s="2"/>
      <c r="P1" s="4"/>
      <c r="Q1" s="2"/>
      <c r="R1" s="2"/>
      <c r="S1" s="2"/>
      <c r="T1" s="2"/>
      <c r="U1" s="2"/>
      <c r="V1" s="2"/>
      <c r="W1" s="3"/>
      <c r="X1" s="2"/>
      <c r="Y1" s="2"/>
      <c r="Z1" s="3"/>
      <c r="AA1" s="5"/>
      <c r="AB1" s="3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1"/>
    </row>
    <row r="2" spans="1:171" ht="69.75">
      <c r="A2" s="6"/>
      <c r="B2" s="7" t="s">
        <v>1</v>
      </c>
      <c r="C2" s="7" t="s">
        <v>2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M2" s="8" t="s">
        <v>9</v>
      </c>
      <c r="N2" s="8" t="s">
        <v>10</v>
      </c>
      <c r="O2" s="8" t="s">
        <v>11</v>
      </c>
      <c r="P2" s="8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9" t="s">
        <v>17</v>
      </c>
      <c r="V2" s="9" t="s">
        <v>18</v>
      </c>
      <c r="W2" s="9" t="s">
        <v>19</v>
      </c>
      <c r="X2" s="8" t="s">
        <v>20</v>
      </c>
      <c r="Y2" s="8" t="s">
        <v>21</v>
      </c>
      <c r="Z2" s="10" t="s">
        <v>22</v>
      </c>
      <c r="AA2" s="10" t="s">
        <v>23</v>
      </c>
      <c r="AB2" s="10" t="s">
        <v>24</v>
      </c>
      <c r="AC2" s="10" t="s">
        <v>25</v>
      </c>
      <c r="AD2" s="10" t="s">
        <v>26</v>
      </c>
      <c r="AE2" s="10" t="s">
        <v>27</v>
      </c>
      <c r="AF2" s="8" t="s">
        <v>28</v>
      </c>
      <c r="AG2" s="8" t="s">
        <v>29</v>
      </c>
      <c r="AH2" s="11" t="s">
        <v>17</v>
      </c>
      <c r="AI2" s="11" t="s">
        <v>30</v>
      </c>
      <c r="AJ2" s="11" t="s">
        <v>31</v>
      </c>
      <c r="AK2" s="12" t="s">
        <v>32</v>
      </c>
    </row>
    <row r="3" spans="1:171" ht="218.25" customHeight="1">
      <c r="A3" s="14"/>
      <c r="B3" s="39">
        <v>1</v>
      </c>
      <c r="C3" s="48" t="s">
        <v>33</v>
      </c>
      <c r="D3" s="48"/>
      <c r="E3" s="40" t="s">
        <v>34</v>
      </c>
      <c r="F3" s="15">
        <v>12</v>
      </c>
      <c r="G3" s="16">
        <v>23.9</v>
      </c>
      <c r="H3" s="49" t="s">
        <v>35</v>
      </c>
      <c r="I3" s="41" t="s">
        <v>36</v>
      </c>
      <c r="J3" s="17">
        <f t="shared" ref="J3:J4" si="0">G3*F3</f>
        <v>286.79999999999995</v>
      </c>
      <c r="L3" s="18">
        <f>T3/J3</f>
        <v>0.46600418410041838</v>
      </c>
      <c r="M3" s="44" t="s">
        <v>37</v>
      </c>
      <c r="N3" s="42"/>
      <c r="O3" s="42"/>
      <c r="P3" s="43"/>
      <c r="Q3" s="19">
        <f>(5.5*18)/12</f>
        <v>8.25</v>
      </c>
      <c r="R3" s="20">
        <v>135</v>
      </c>
      <c r="S3" s="21">
        <f t="shared" ref="S3:S4" si="1">Q3*R3/100</f>
        <v>11.137499999999999</v>
      </c>
      <c r="T3" s="22">
        <f t="shared" ref="T3:T4" si="2">S3*V3</f>
        <v>133.64999999999998</v>
      </c>
      <c r="U3" s="23">
        <f t="shared" ref="U3:U4" si="3">Q3+S3</f>
        <v>19.387499999999999</v>
      </c>
      <c r="V3" s="20">
        <f t="shared" ref="V3:V4" si="4">F3</f>
        <v>12</v>
      </c>
      <c r="W3" s="24">
        <f>Q3*0</f>
        <v>0</v>
      </c>
      <c r="X3" s="25">
        <v>45</v>
      </c>
      <c r="Y3" s="26">
        <f t="shared" ref="Y3:Y4" si="5">V3*U3+W3+X3</f>
        <v>277.64999999999998</v>
      </c>
      <c r="Z3" s="51" t="s">
        <v>38</v>
      </c>
      <c r="AA3" s="27">
        <v>0</v>
      </c>
      <c r="AB3" s="28">
        <v>1</v>
      </c>
      <c r="AC3" s="28">
        <v>1</v>
      </c>
      <c r="AD3" s="28">
        <v>1</v>
      </c>
      <c r="AE3" s="29">
        <f t="shared" ref="AE3:AE4" si="6">AA3*AB3*AC3*AD3</f>
        <v>0</v>
      </c>
      <c r="AF3" s="27">
        <v>2.85</v>
      </c>
      <c r="AG3" s="30">
        <f>1.5%*(Y3+AE3+AF3)</f>
        <v>4.2074999999999996</v>
      </c>
      <c r="AH3" s="31">
        <f t="shared" ref="AH3:AH4" si="7">Y3+AE3+AG3+AF3</f>
        <v>284.70749999999998</v>
      </c>
      <c r="AI3" s="32">
        <f t="shared" ref="AI3:AI4" si="8">AH3/V3</f>
        <v>23.725624999999997</v>
      </c>
      <c r="AJ3" s="33">
        <f t="shared" ref="AJ3:AJ4" si="9">AI3*18%</f>
        <v>4.2706124999999995</v>
      </c>
      <c r="AK3" s="34">
        <f t="shared" ref="AK3:AK4" si="10">AI3+AJ3</f>
        <v>27.996237499999996</v>
      </c>
      <c r="AL3" s="35"/>
      <c r="AM3" s="36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37"/>
      <c r="DG3" s="37"/>
      <c r="DH3" s="37"/>
      <c r="DI3" s="37"/>
      <c r="DJ3" s="37"/>
      <c r="DK3" s="37"/>
      <c r="DL3" s="37"/>
      <c r="DM3" s="37"/>
      <c r="DN3" s="37"/>
      <c r="DO3" s="37"/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37"/>
      <c r="EF3" s="37"/>
      <c r="EG3" s="37"/>
      <c r="EH3" s="37"/>
      <c r="EI3" s="37"/>
      <c r="EJ3" s="37"/>
      <c r="EK3" s="37"/>
      <c r="EL3" s="37"/>
      <c r="EM3" s="37"/>
      <c r="EN3" s="37"/>
      <c r="EO3" s="37"/>
      <c r="EP3" s="37"/>
      <c r="EQ3" s="37"/>
      <c r="ER3" s="37"/>
      <c r="ES3" s="37"/>
      <c r="ET3" s="37"/>
      <c r="EU3" s="37"/>
      <c r="EV3" s="37"/>
      <c r="EW3" s="37"/>
      <c r="EX3" s="37"/>
      <c r="EY3" s="37"/>
      <c r="EZ3" s="37"/>
      <c r="FA3" s="37"/>
      <c r="FB3" s="37"/>
      <c r="FC3" s="37"/>
      <c r="FD3" s="37"/>
      <c r="FE3" s="37"/>
      <c r="FF3" s="37"/>
      <c r="FG3" s="37"/>
      <c r="FH3" s="37"/>
      <c r="FI3" s="37"/>
      <c r="FJ3" s="37"/>
      <c r="FK3" s="37"/>
      <c r="FL3" s="37"/>
      <c r="FM3" s="37"/>
      <c r="FN3" s="37"/>
      <c r="FO3" s="37"/>
    </row>
    <row r="4" spans="1:171" ht="214.5" customHeight="1">
      <c r="A4" s="14"/>
      <c r="B4" s="39">
        <v>2</v>
      </c>
      <c r="C4" s="48" t="s">
        <v>39</v>
      </c>
      <c r="D4" s="48"/>
      <c r="E4" s="40" t="s">
        <v>34</v>
      </c>
      <c r="F4" s="15">
        <v>8</v>
      </c>
      <c r="G4" s="16">
        <v>22.9</v>
      </c>
      <c r="H4" s="50"/>
      <c r="I4" s="41" t="s">
        <v>40</v>
      </c>
      <c r="J4" s="17">
        <f t="shared" si="0"/>
        <v>183.2</v>
      </c>
      <c r="L4" s="18">
        <f>T4/J4</f>
        <v>0.41103545259418256</v>
      </c>
      <c r="M4" s="44" t="s">
        <v>41</v>
      </c>
      <c r="N4" s="42"/>
      <c r="O4" s="42"/>
      <c r="P4" s="43"/>
      <c r="Q4" s="19">
        <f xml:space="preserve"> 7.66/1.18</f>
        <v>6.491525423728814</v>
      </c>
      <c r="R4" s="20">
        <v>145</v>
      </c>
      <c r="S4" s="21">
        <f t="shared" si="1"/>
        <v>9.4127118644067806</v>
      </c>
      <c r="T4" s="22">
        <f t="shared" si="2"/>
        <v>75.301694915254245</v>
      </c>
      <c r="U4" s="23">
        <f t="shared" si="3"/>
        <v>15.904237288135594</v>
      </c>
      <c r="V4" s="20">
        <f t="shared" si="4"/>
        <v>8</v>
      </c>
      <c r="W4" s="24">
        <f>Q4*1</f>
        <v>6.491525423728814</v>
      </c>
      <c r="X4" s="25">
        <v>40</v>
      </c>
      <c r="Y4" s="26">
        <f t="shared" si="5"/>
        <v>173.72542372881355</v>
      </c>
      <c r="Z4" s="51"/>
      <c r="AA4" s="27">
        <v>0</v>
      </c>
      <c r="AB4" s="28">
        <v>1</v>
      </c>
      <c r="AC4" s="28">
        <v>1</v>
      </c>
      <c r="AD4" s="28">
        <v>1</v>
      </c>
      <c r="AE4" s="29">
        <f t="shared" si="6"/>
        <v>0</v>
      </c>
      <c r="AF4" s="27">
        <f>2.85</f>
        <v>2.85</v>
      </c>
      <c r="AG4" s="30">
        <f>1.5%*(Y4+AE4+AF4)</f>
        <v>2.6486313559322032</v>
      </c>
      <c r="AH4" s="31">
        <f t="shared" si="7"/>
        <v>179.22405508474574</v>
      </c>
      <c r="AI4" s="32">
        <f t="shared" si="8"/>
        <v>22.403006885593218</v>
      </c>
      <c r="AJ4" s="33">
        <f t="shared" si="9"/>
        <v>4.032541239406779</v>
      </c>
      <c r="AK4" s="34">
        <f t="shared" si="10"/>
        <v>26.435548124999997</v>
      </c>
      <c r="AL4" s="35"/>
      <c r="AM4" s="36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</row>
    <row r="5" spans="1:171" ht="23.25">
      <c r="I5" s="7" t="s">
        <v>42</v>
      </c>
      <c r="J5" s="17">
        <f>SUM(J3:J4)</f>
        <v>469.99999999999994</v>
      </c>
      <c r="T5" s="22">
        <f>SUM(T3:T4)</f>
        <v>208.95169491525422</v>
      </c>
      <c r="X5" s="22">
        <f>SUM(X3:X4)</f>
        <v>85</v>
      </c>
    </row>
    <row r="6" spans="1:171" ht="23.25">
      <c r="I6" s="7" t="s">
        <v>43</v>
      </c>
      <c r="J6" s="17">
        <f>J5*0.18</f>
        <v>84.59999999999998</v>
      </c>
    </row>
    <row r="7" spans="1:171" ht="23.25">
      <c r="I7" s="7" t="s">
        <v>44</v>
      </c>
      <c r="J7" s="17">
        <f>470*1.18</f>
        <v>554.6</v>
      </c>
    </row>
    <row r="9" spans="1:171" ht="20.25" customHeight="1">
      <c r="A9" s="1"/>
      <c r="B9" s="45" t="s">
        <v>0</v>
      </c>
      <c r="C9" s="46"/>
      <c r="D9" s="46"/>
      <c r="E9" s="46"/>
      <c r="F9" s="46"/>
      <c r="G9" s="46"/>
      <c r="H9" s="46"/>
      <c r="I9" s="46"/>
      <c r="J9" s="47"/>
      <c r="K9" s="2"/>
      <c r="L9" s="2"/>
      <c r="M9" s="3"/>
      <c r="N9" s="3"/>
      <c r="O9" s="2"/>
      <c r="P9" s="4"/>
      <c r="Q9" s="2"/>
      <c r="R9" s="2"/>
      <c r="S9" s="2"/>
      <c r="T9" s="2"/>
      <c r="U9" s="2"/>
      <c r="V9" s="2"/>
      <c r="W9" s="3"/>
      <c r="X9" s="2"/>
      <c r="Y9" s="2"/>
      <c r="Z9" s="3"/>
      <c r="AA9" s="5"/>
      <c r="AB9" s="3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1"/>
    </row>
    <row r="10" spans="1:171" ht="69.75">
      <c r="A10" s="6"/>
      <c r="B10" s="7" t="s">
        <v>1</v>
      </c>
      <c r="C10" s="7" t="s">
        <v>2</v>
      </c>
      <c r="D10" s="7" t="s">
        <v>2</v>
      </c>
      <c r="E10" s="7" t="s">
        <v>3</v>
      </c>
      <c r="F10" s="7" t="s">
        <v>4</v>
      </c>
      <c r="G10" s="7" t="s">
        <v>5</v>
      </c>
      <c r="H10" s="7" t="s">
        <v>6</v>
      </c>
      <c r="I10" s="7" t="s">
        <v>7</v>
      </c>
      <c r="J10" s="7" t="s">
        <v>8</v>
      </c>
      <c r="M10" s="8" t="s">
        <v>9</v>
      </c>
      <c r="N10" s="8" t="s">
        <v>10</v>
      </c>
      <c r="O10" s="8" t="s">
        <v>11</v>
      </c>
      <c r="P10" s="8" t="s">
        <v>12</v>
      </c>
      <c r="Q10" s="9" t="s">
        <v>13</v>
      </c>
      <c r="R10" s="9" t="s">
        <v>14</v>
      </c>
      <c r="S10" s="9" t="s">
        <v>15</v>
      </c>
      <c r="T10" s="9" t="s">
        <v>16</v>
      </c>
      <c r="U10" s="9" t="s">
        <v>17</v>
      </c>
      <c r="V10" s="9" t="s">
        <v>18</v>
      </c>
      <c r="W10" s="9" t="s">
        <v>19</v>
      </c>
      <c r="X10" s="8" t="s">
        <v>20</v>
      </c>
      <c r="Y10" s="8" t="s">
        <v>21</v>
      </c>
      <c r="Z10" s="10" t="s">
        <v>22</v>
      </c>
      <c r="AA10" s="10" t="s">
        <v>23</v>
      </c>
      <c r="AB10" s="10" t="s">
        <v>24</v>
      </c>
      <c r="AC10" s="10" t="s">
        <v>25</v>
      </c>
      <c r="AD10" s="10" t="s">
        <v>26</v>
      </c>
      <c r="AE10" s="10" t="s">
        <v>27</v>
      </c>
      <c r="AF10" s="8" t="s">
        <v>28</v>
      </c>
      <c r="AG10" s="8" t="s">
        <v>29</v>
      </c>
      <c r="AH10" s="11" t="s">
        <v>17</v>
      </c>
      <c r="AI10" s="11" t="s">
        <v>30</v>
      </c>
      <c r="AJ10" s="11" t="s">
        <v>31</v>
      </c>
      <c r="AK10" s="12" t="s">
        <v>32</v>
      </c>
    </row>
    <row r="11" spans="1:171" ht="218.25" customHeight="1">
      <c r="A11" s="14"/>
      <c r="B11" s="39">
        <v>1</v>
      </c>
      <c r="C11" s="48" t="s">
        <v>33</v>
      </c>
      <c r="D11" s="48"/>
      <c r="E11" s="40" t="s">
        <v>34</v>
      </c>
      <c r="F11" s="15">
        <v>12</v>
      </c>
      <c r="G11" s="16">
        <v>24.5</v>
      </c>
      <c r="H11" s="49" t="s">
        <v>35</v>
      </c>
      <c r="I11" s="41" t="s">
        <v>36</v>
      </c>
      <c r="J11" s="17">
        <f t="shared" ref="J11:J12" si="11">G11*F11</f>
        <v>294</v>
      </c>
      <c r="L11" s="18">
        <f>T11/J11</f>
        <v>0.45459183673469378</v>
      </c>
      <c r="M11" s="44" t="s">
        <v>37</v>
      </c>
      <c r="N11" s="42"/>
      <c r="O11" s="42"/>
      <c r="P11" s="43"/>
      <c r="Q11" s="19">
        <f>(5.5*18)/12</f>
        <v>8.25</v>
      </c>
      <c r="R11" s="20">
        <v>135</v>
      </c>
      <c r="S11" s="21">
        <f t="shared" ref="S11:S12" si="12">Q11*R11/100</f>
        <v>11.137499999999999</v>
      </c>
      <c r="T11" s="22">
        <f t="shared" ref="T11:T12" si="13">S11*V11</f>
        <v>133.64999999999998</v>
      </c>
      <c r="U11" s="23">
        <f t="shared" ref="U11:U12" si="14">Q11+S11</f>
        <v>19.387499999999999</v>
      </c>
      <c r="V11" s="20">
        <f t="shared" ref="V11:V12" si="15">F11</f>
        <v>12</v>
      </c>
      <c r="W11" s="24">
        <f>Q11*0</f>
        <v>0</v>
      </c>
      <c r="X11" s="25">
        <v>50</v>
      </c>
      <c r="Y11" s="26">
        <f t="shared" ref="Y11:Y12" si="16">V11*U11+W11+X11</f>
        <v>282.64999999999998</v>
      </c>
      <c r="Z11" s="51" t="s">
        <v>38</v>
      </c>
      <c r="AA11" s="27">
        <v>0</v>
      </c>
      <c r="AB11" s="28">
        <v>1</v>
      </c>
      <c r="AC11" s="28">
        <v>1</v>
      </c>
      <c r="AD11" s="28">
        <v>1</v>
      </c>
      <c r="AE11" s="29">
        <f t="shared" ref="AE11:AE12" si="17">AA11*AB11*AC11*AD11</f>
        <v>0</v>
      </c>
      <c r="AF11" s="27">
        <v>3.85</v>
      </c>
      <c r="AG11" s="30">
        <f>1.5%*(Y11+AE11+AF11)</f>
        <v>4.2974999999999994</v>
      </c>
      <c r="AH11" s="31">
        <f t="shared" ref="AH11:AH12" si="18">Y11+AE11+AG11+AF11</f>
        <v>290.79750000000001</v>
      </c>
      <c r="AI11" s="32">
        <f t="shared" ref="AI11:AI12" si="19">AH11/V11</f>
        <v>24.233125000000001</v>
      </c>
      <c r="AJ11" s="33">
        <f t="shared" ref="AJ11:AJ12" si="20">AI11*18%</f>
        <v>4.3619624999999997</v>
      </c>
      <c r="AK11" s="34">
        <f t="shared" ref="AK11:AK12" si="21">AI11+AJ11</f>
        <v>28.595087500000002</v>
      </c>
      <c r="AL11" s="35"/>
      <c r="AM11" s="36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</row>
    <row r="12" spans="1:171" ht="228.75" customHeight="1">
      <c r="A12" s="14"/>
      <c r="B12" s="39">
        <v>2</v>
      </c>
      <c r="C12" s="48" t="s">
        <v>39</v>
      </c>
      <c r="D12" s="48"/>
      <c r="E12" s="40" t="s">
        <v>34</v>
      </c>
      <c r="F12" s="15">
        <v>8</v>
      </c>
      <c r="G12" s="16">
        <v>23.9</v>
      </c>
      <c r="H12" s="50"/>
      <c r="I12" s="41" t="s">
        <v>40</v>
      </c>
      <c r="J12" s="17">
        <f t="shared" si="11"/>
        <v>191.2</v>
      </c>
      <c r="L12" s="18">
        <f>T12/J12</f>
        <v>0.3938373165023758</v>
      </c>
      <c r="M12" s="44" t="s">
        <v>41</v>
      </c>
      <c r="N12" s="42"/>
      <c r="O12" s="42"/>
      <c r="P12" s="43"/>
      <c r="Q12" s="19">
        <f xml:space="preserve"> 7.66/1.18</f>
        <v>6.491525423728814</v>
      </c>
      <c r="R12" s="20">
        <v>145</v>
      </c>
      <c r="S12" s="21">
        <f t="shared" si="12"/>
        <v>9.4127118644067806</v>
      </c>
      <c r="T12" s="22">
        <f t="shared" si="13"/>
        <v>75.301694915254245</v>
      </c>
      <c r="U12" s="23">
        <f t="shared" si="14"/>
        <v>15.904237288135594</v>
      </c>
      <c r="V12" s="20">
        <f t="shared" si="15"/>
        <v>8</v>
      </c>
      <c r="W12" s="24">
        <f>Q12*1</f>
        <v>6.491525423728814</v>
      </c>
      <c r="X12" s="25">
        <v>50</v>
      </c>
      <c r="Y12" s="26">
        <f t="shared" si="16"/>
        <v>183.72542372881355</v>
      </c>
      <c r="Z12" s="51"/>
      <c r="AA12" s="27">
        <v>0</v>
      </c>
      <c r="AB12" s="28">
        <v>1</v>
      </c>
      <c r="AC12" s="28">
        <v>1</v>
      </c>
      <c r="AD12" s="28">
        <v>1</v>
      </c>
      <c r="AE12" s="29">
        <f t="shared" si="17"/>
        <v>0</v>
      </c>
      <c r="AF12" s="27">
        <v>3.85</v>
      </c>
      <c r="AG12" s="30">
        <f>1.5%*(Y12+AE12+AF12)</f>
        <v>2.8136313559322033</v>
      </c>
      <c r="AH12" s="31">
        <f t="shared" si="18"/>
        <v>190.38905508474576</v>
      </c>
      <c r="AI12" s="32">
        <f t="shared" si="19"/>
        <v>23.79863188559322</v>
      </c>
      <c r="AJ12" s="33">
        <f t="shared" si="20"/>
        <v>4.2837537394067793</v>
      </c>
      <c r="AK12" s="34">
        <f t="shared" si="21"/>
        <v>28.082385625000001</v>
      </c>
      <c r="AL12" s="35"/>
      <c r="AM12" s="36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</row>
    <row r="13" spans="1:171" ht="23.25">
      <c r="I13" s="7" t="s">
        <v>42</v>
      </c>
      <c r="J13" s="17">
        <f>SUM(J11:J12)</f>
        <v>485.2</v>
      </c>
      <c r="T13" s="22">
        <f>SUM(T11:T12)</f>
        <v>208.95169491525422</v>
      </c>
      <c r="X13" s="22">
        <f>SUM(X11:X12)</f>
        <v>100</v>
      </c>
    </row>
  </sheetData>
  <mergeCells count="10">
    <mergeCell ref="Z11:Z12"/>
    <mergeCell ref="B9:J9"/>
    <mergeCell ref="C11:D11"/>
    <mergeCell ref="C12:D12"/>
    <mergeCell ref="H11:H12"/>
    <mergeCell ref="B1:J1"/>
    <mergeCell ref="C3:D3"/>
    <mergeCell ref="H3:H4"/>
    <mergeCell ref="Z3:Z4"/>
    <mergeCell ref="C4:D4"/>
  </mergeCells>
  <pageMargins left="0.25" right="0.25" top="0.75" bottom="0.75" header="0.3" footer="0.3"/>
  <pageSetup paperSize="9" scale="10" fitToHeight="0" orientation="portrait" horizontalDpi="360" verticalDpi="360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Lady Diana Orellana Estrada</dc:creator>
  <cp:keywords/>
  <dc:description/>
  <cp:lastModifiedBy>Rubi Huamantupa Ortiz</cp:lastModifiedBy>
  <cp:revision/>
  <dcterms:created xsi:type="dcterms:W3CDTF">2026-03-19T15:27:57Z</dcterms:created>
  <dcterms:modified xsi:type="dcterms:W3CDTF">2026-06-05T17:52:12Z</dcterms:modified>
  <cp:category/>
  <cp:contentStatus/>
</cp:coreProperties>
</file>