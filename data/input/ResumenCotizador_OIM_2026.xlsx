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Organización Internacional para las Migraciones de las Naciones Unidas (OIM)/BD Cotizaciones/2026/"/>
    </mc:Choice>
  </mc:AlternateContent>
  <xr:revisionPtr revIDLastSave="17" documentId="8_{4ABB0EC8-C69D-45CB-BE53-FE86768E2125}" xr6:coauthVersionLast="47" xr6:coauthVersionMax="47" xr10:uidLastSave="{8E9C4FA8-06BF-4B73-91C7-F502EF824C8C}"/>
  <bookViews>
    <workbookView xWindow="-120" yWindow="-120" windowWidth="29040" windowHeight="15840" xr2:uid="{9FF71EA6-4A54-4614-ADCD-A225CC9175C4}"/>
  </bookViews>
  <sheets>
    <sheet name="ENE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Q14" i="1"/>
  <c r="W4" i="1"/>
  <c r="X4" i="1"/>
  <c r="AE4" i="1"/>
  <c r="V4" i="1"/>
  <c r="AF4" i="1" s="1"/>
  <c r="S4" i="1"/>
  <c r="U4" i="1" s="1"/>
  <c r="J4" i="1"/>
  <c r="AE9" i="1"/>
  <c r="X9" i="1"/>
  <c r="W9" i="1"/>
  <c r="V9" i="1"/>
  <c r="S9" i="1"/>
  <c r="U9" i="1" s="1"/>
  <c r="J9" i="1"/>
  <c r="AE8" i="1"/>
  <c r="V8" i="1"/>
  <c r="Q8" i="1"/>
  <c r="W8" i="1" s="1"/>
  <c r="J8" i="1"/>
  <c r="Y4" i="1" l="1"/>
  <c r="AG4" i="1" s="1"/>
  <c r="AH4" i="1" s="1"/>
  <c r="AI4" i="1" s="1"/>
  <c r="K9" i="1"/>
  <c r="T4" i="1"/>
  <c r="L4" i="1" s="1"/>
  <c r="J10" i="1"/>
  <c r="T9" i="1"/>
  <c r="L9" i="1" s="1"/>
  <c r="S8" i="1"/>
  <c r="Y9" i="1"/>
  <c r="AF9" i="1"/>
  <c r="T8" i="1" l="1"/>
  <c r="L8" i="1" s="1"/>
  <c r="K8" i="1"/>
  <c r="U8" i="1"/>
  <c r="Y8" i="1" s="1"/>
  <c r="AJ4" i="1"/>
  <c r="AK4" i="1" s="1"/>
  <c r="AG8" i="1"/>
  <c r="AH8" i="1" s="1"/>
  <c r="AI8" i="1" s="1"/>
  <c r="AG9" i="1"/>
  <c r="AH9" i="1" s="1"/>
  <c r="AI9" i="1" s="1"/>
  <c r="AJ9" i="1" l="1"/>
  <c r="AK9" i="1" s="1"/>
  <c r="AJ8" i="1"/>
  <c r="AK8" i="1" s="1"/>
  <c r="AE14" i="1"/>
  <c r="V14" i="1"/>
  <c r="S14" i="1" l="1"/>
  <c r="T14" i="1" l="1"/>
  <c r="U14" i="1"/>
  <c r="Y14" i="1" s="1"/>
  <c r="AG14" i="1" s="1"/>
  <c r="AH14" i="1" l="1"/>
  <c r="AI14" i="1" s="1"/>
  <c r="G14" i="1" s="1"/>
  <c r="AJ14" i="1" l="1"/>
  <c r="AK14" i="1" s="1"/>
  <c r="J14" i="1"/>
  <c r="L14" i="1" s="1"/>
</calcChain>
</file>

<file path=xl/sharedStrings.xml><?xml version="1.0" encoding="utf-8"?>
<sst xmlns="http://schemas.openxmlformats.org/spreadsheetml/2006/main" count="139" uniqueCount="60">
  <si>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</si>
  <si>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Nº</t>
  </si>
  <si>
    <t>Cód. Artíc.</t>
  </si>
  <si>
    <t>Artículo</t>
  </si>
  <si>
    <t>Foto</t>
  </si>
  <si>
    <t>Cant.</t>
  </si>
  <si>
    <t xml:space="preserve">Costo uni. 
No IGV (S/.) </t>
  </si>
  <si>
    <t>Tiempo Entrega</t>
  </si>
  <si>
    <t>Detalles</t>
  </si>
  <si>
    <t xml:space="preserve">Costo Total
No IGV (S/.) 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</si>
  <si>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</si>
  <si>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</si>
  <si>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</si>
  <si>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</si>
  <si>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</si>
  <si>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</si>
  <si>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</si>
  <si>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</si>
  <si>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</si>
  <si>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</si>
  <si>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</si>
  <si>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</si>
  <si>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</si>
  <si>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</si>
  <si>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</si>
  <si>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</si>
  <si>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</si>
  <si>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</si>
  <si>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</si>
  <si>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</si>
  <si>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</si>
  <si>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</si>
  <si>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</si>
  <si>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</si>
  <si>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Imagen Referencial</t>
  </si>
  <si>
    <t>uv</t>
  </si>
  <si>
    <t>CHIPER</t>
  </si>
  <si>
    <t>COCH-2126N</t>
  </si>
  <si>
    <t>2126N</t>
  </si>
  <si>
    <t>LAPICEROS PLÁSTICOS</t>
  </si>
  <si>
    <t>7 a 9 días utiles</t>
  </si>
  <si>
    <t xml:space="preserve">CUADERNO 14.8X21cm - TAPA DURA
 </t>
  </si>
  <si>
    <t xml:space="preserve">S/.420 incluido IGV </t>
  </si>
  <si>
    <t>IMPRESIONES GRAFIAS GENERALES
/
MARCO</t>
  </si>
  <si>
    <t>YA INCLUYE</t>
  </si>
  <si>
    <t>IMPRESIONES GRAFIAS GENERALES
S/.12.80 incluido IGV
/
MARCO
S/9.90 + IGV</t>
  </si>
  <si>
    <r>
      <rPr>
        <b/>
        <u/>
        <sz val="16"/>
        <rFont val="Arial"/>
        <family val="2"/>
      </rPr>
      <t>LAPICEROS PLÁSTICOS</t>
    </r>
    <r>
      <rPr>
        <sz val="16"/>
        <rFont val="Arial"/>
        <family val="2"/>
      </rPr>
      <t xml:space="preserve">
Material: Plástico
Cuerpo translucido de color entero con goma de color, detalles plateados y sistema retractil
Tinta: Seca, azul
Color: Negro
Presentación: Grupal, no bolsita individual
</t>
    </r>
    <r>
      <rPr>
        <b/>
        <sz val="16"/>
        <color rgb="FFFF0000"/>
        <rFont val="Arial"/>
        <family val="2"/>
      </rPr>
      <t>*Incluye impresión de 2 logos a 1 color: uno al frente y otro al reverso.
*Diseño o arte facilitado por el cliente</t>
    </r>
  </si>
  <si>
    <r>
      <rPr>
        <b/>
        <u/>
        <sz val="16"/>
        <rFont val="Arial"/>
        <family val="2"/>
      </rPr>
      <t xml:space="preserve">CUADERNO 14.8X21cm - TAPA DURA 
</t>
    </r>
    <r>
      <rPr>
        <b/>
        <sz val="16"/>
        <rFont val="Arial"/>
        <family val="2"/>
      </rPr>
      <t xml:space="preserve"> TAPA y  CONTRA TAPA</t>
    </r>
    <r>
      <rPr>
        <b/>
        <u/>
        <sz val="16"/>
        <rFont val="Arial"/>
        <family val="2"/>
      </rPr>
      <t xml:space="preserve">
</t>
    </r>
    <r>
      <rPr>
        <sz val="16"/>
        <rFont val="Arial"/>
        <family val="2"/>
      </rPr>
      <t xml:space="preserve">Tamaño cerrado: 14.8cm x 21cm
Impresión Tapa y contra tapa: Full color 
Interior (la guarda) tapa y contratapa: Blanco
Material:  couche de 150  gr
Plastificado Mate
</t>
    </r>
    <r>
      <rPr>
        <b/>
        <sz val="16"/>
        <rFont val="Arial"/>
        <family val="2"/>
      </rPr>
      <t xml:space="preserve">INTERIORES </t>
    </r>
    <r>
      <rPr>
        <sz val="16"/>
        <rFont val="Arial"/>
        <family val="2"/>
      </rPr>
      <t xml:space="preserve">
hojas: 100  Hojas interiores, material: bond de 75 gr, impresion: 1 color  tira y retira
</t>
    </r>
    <r>
      <rPr>
        <b/>
        <sz val="16"/>
        <rFont val="Arial"/>
        <family val="2"/>
      </rPr>
      <t xml:space="preserve">ACABADOS : </t>
    </r>
    <r>
      <rPr>
        <sz val="16"/>
        <rFont val="Arial"/>
        <family val="2"/>
      </rPr>
      <t xml:space="preserve">
tapa dura, anillado, compaginado, plastificado mate la tapa
Presentacion: Grupal
</t>
    </r>
    <r>
      <rPr>
        <b/>
        <sz val="16"/>
        <color rgb="FFFF0000"/>
        <rFont val="Arial"/>
        <family val="2"/>
      </rPr>
      <t>*Arte y diseño facilitado por el cliente.</t>
    </r>
  </si>
  <si>
    <t>5 a 7 Días útiles</t>
  </si>
  <si>
    <t>COTIZACIÓN PROPUESTA_MASTER JOB_27.01.26</t>
  </si>
  <si>
    <t>SERV DE DISEÑO</t>
  </si>
  <si>
    <r>
      <rPr>
        <b/>
        <u/>
        <sz val="16"/>
        <rFont val="Arial"/>
        <family val="2"/>
      </rPr>
      <t xml:space="preserve">CUADERNO 14.8X21cm - TAPA DURA 
</t>
    </r>
    <r>
      <rPr>
        <b/>
        <sz val="16"/>
        <rFont val="Arial"/>
        <family val="2"/>
      </rPr>
      <t xml:space="preserve"> TAPA y  CONTRA TAPA</t>
    </r>
    <r>
      <rPr>
        <b/>
        <u/>
        <sz val="16"/>
        <rFont val="Arial"/>
        <family val="2"/>
      </rPr>
      <t xml:space="preserve">
</t>
    </r>
    <r>
      <rPr>
        <sz val="16"/>
        <rFont val="Arial"/>
        <family val="2"/>
      </rPr>
      <t xml:space="preserve">Tamaño cerrado: 14.8cm x 21cm
Impresión Tapa y contra tapa: Full color 
Interior (la guarda) tapa y contratapa: Blanco
Material:  couche de 150  gr
Plastificado Mate
</t>
    </r>
    <r>
      <rPr>
        <b/>
        <sz val="16"/>
        <rFont val="Arial"/>
        <family val="2"/>
      </rPr>
      <t xml:space="preserve">INTERIORES </t>
    </r>
    <r>
      <rPr>
        <sz val="16"/>
        <rFont val="Arial"/>
        <family val="2"/>
      </rPr>
      <t xml:space="preserve">
hojas: 100  Hojas interiores, material: bond de 75 gr, impresion: 1 color  tira y retira
</t>
    </r>
    <r>
      <rPr>
        <b/>
        <sz val="16"/>
        <rFont val="Arial"/>
        <family val="2"/>
      </rPr>
      <t xml:space="preserve">ACABADOS : </t>
    </r>
    <r>
      <rPr>
        <sz val="16"/>
        <rFont val="Arial"/>
        <family val="2"/>
      </rPr>
      <t xml:space="preserve">
tapa dura, anillado, compaginado, plastificado mate la tapa
Presentacion: Grupal
</t>
    </r>
    <r>
      <rPr>
        <b/>
        <sz val="16"/>
        <color rgb="FFFF0000"/>
        <rFont val="Arial"/>
        <family val="2"/>
      </rPr>
      <t>*Incluye servicio de diseño estandar.</t>
    </r>
  </si>
  <si>
    <t>Lunes 16/02</t>
  </si>
  <si>
    <t>CUADERNO 14.8X21cm - TAPA DURA</t>
  </si>
  <si>
    <t>ESCORP</t>
  </si>
  <si>
    <t>S/8.30 incluido IGV</t>
  </si>
  <si>
    <t xml:space="preserve">TAZA BLANCA SUBLIMADA
 </t>
  </si>
  <si>
    <r>
      <rPr>
        <b/>
        <u/>
        <sz val="16"/>
        <rFont val="Arial"/>
        <family val="2"/>
      </rPr>
      <t xml:space="preserve">TAZA BLANCA SUBLIMADA
</t>
    </r>
    <r>
      <rPr>
        <sz val="16"/>
        <rFont val="Arial"/>
        <family val="2"/>
      </rPr>
      <t xml:space="preserve">Material: ceramico
Color: Blanco
Capacidad: 11 onzas.
Presentación: Caja individual
</t>
    </r>
    <r>
      <rPr>
        <b/>
        <sz val="16"/>
        <color rgb="FFFF0000"/>
        <rFont val="Arial"/>
        <family val="2"/>
      </rPr>
      <t>*Incluye logo a full color (sublimación) alrededor de la taza*</t>
    </r>
    <r>
      <rPr>
        <b/>
        <u/>
        <sz val="16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>*Arte y diseño facilitado por el cliente.</t>
    </r>
  </si>
  <si>
    <t>COTIZACIÓN PROPUESTA_OIM_07.05.26</t>
  </si>
  <si>
    <t>07 de Mayo
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</si>
</sst>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/.&quot;\ #,##0.00"/>
    <numFmt numFmtId="165" formatCode="[$S/.-280A]\ #,##0.00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8"/>
      <name val="Arial"/>
      <family val="2"/>
    </font>
    <font>
      <sz val="14"/>
      <color rgb="FFFF0000"/>
      <name val="Arial"/>
      <family val="2"/>
    </font>
    <font>
      <b/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1"/>
      <color indexed="8"/>
      <name val="Calibri"/>
      <family val="2"/>
    </font>
    <font>
      <b/>
      <sz val="14"/>
      <color indexed="9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8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color rgb="FFFF0000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8"/>
      <color indexed="8"/>
      <name val="Arial"/>
      <family val="2"/>
    </font>
    <font>
      <b/>
      <sz val="16"/>
      <name val="Arial"/>
      <family val="2"/>
    </font>
    <font>
      <sz val="18"/>
      <color theme="1"/>
      <name val="Arial"/>
      <family val="2"/>
    </font>
    <font>
      <b/>
      <sz val="18"/>
      <color indexed="10"/>
      <name val="Arial"/>
      <family val="2"/>
    </font>
    <font>
      <sz val="18"/>
      <color theme="2"/>
      <name val="Arial"/>
      <family val="2"/>
    </font>
    <font>
      <sz val="18"/>
      <color theme="1"/>
      <name val="Calibri"/>
      <family val="2"/>
      <scheme val="minor"/>
    </font>
    <font>
      <b/>
      <sz val="18"/>
      <color rgb="FFFF0000"/>
      <name val="Calibri"/>
      <family val="2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b/>
      <u/>
      <sz val="16"/>
      <name val="Arial"/>
      <family val="2"/>
    </font>
    <font>
      <b/>
      <sz val="16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8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7" fillId="0" borderId="0"/>
    <xf numFmtId="0" fontId="7" fillId="0" borderId="0"/>
    <xf numFmtId="9" fontId="24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1" applyFont="1" applyAlignment="1">
      <alignment horizontal="center" vertical="center" wrapText="1"/>
    </xf>
    <xf numFmtId="0" fontId="1" fillId="0" borderId="0" xfId="1"/>
    <xf numFmtId="0" fontId="5" fillId="0" borderId="0" xfId="0" applyFont="1"/>
    <xf numFmtId="0" fontId="6" fillId="3" borderId="4" xfId="1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  <xf numFmtId="0" fontId="10" fillId="0" borderId="0" xfId="1" applyFont="1"/>
    <xf numFmtId="0" fontId="11" fillId="7" borderId="0" xfId="1" applyFont="1" applyFill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164" fontId="12" fillId="8" borderId="4" xfId="1" applyNumberFormat="1" applyFont="1" applyFill="1" applyBorder="1" applyAlignment="1">
      <alignment horizontal="center" vertical="center" wrapText="1"/>
    </xf>
    <xf numFmtId="164" fontId="13" fillId="0" borderId="4" xfId="3" applyNumberFormat="1" applyFont="1" applyBorder="1" applyAlignment="1">
      <alignment horizontal="center" vertical="center" wrapText="1"/>
    </xf>
    <xf numFmtId="49" fontId="15" fillId="7" borderId="4" xfId="1" applyNumberFormat="1" applyFont="1" applyFill="1" applyBorder="1" applyAlignment="1">
      <alignment horizontal="center" vertical="center" wrapText="1"/>
    </xf>
    <xf numFmtId="165" fontId="16" fillId="0" borderId="4" xfId="1" applyNumberFormat="1" applyFont="1" applyBorder="1" applyAlignment="1">
      <alignment horizontal="center" vertical="center"/>
    </xf>
    <xf numFmtId="0" fontId="13" fillId="9" borderId="4" xfId="1" applyFont="1" applyFill="1" applyBorder="1" applyAlignment="1">
      <alignment horizontal="center" vertical="center"/>
    </xf>
    <xf numFmtId="165" fontId="17" fillId="10" borderId="4" xfId="1" applyNumberFormat="1" applyFont="1" applyFill="1" applyBorder="1" applyAlignment="1">
      <alignment horizontal="center" vertical="center"/>
    </xf>
    <xf numFmtId="164" fontId="2" fillId="10" borderId="4" xfId="1" applyNumberFormat="1" applyFont="1" applyFill="1" applyBorder="1" applyAlignment="1">
      <alignment horizontal="center" vertical="center"/>
    </xf>
    <xf numFmtId="164" fontId="17" fillId="10" borderId="4" xfId="1" applyNumberFormat="1" applyFont="1" applyFill="1" applyBorder="1" applyAlignment="1">
      <alignment horizontal="center" vertical="center"/>
    </xf>
    <xf numFmtId="0" fontId="18" fillId="11" borderId="4" xfId="1" applyFont="1" applyFill="1" applyBorder="1" applyAlignment="1">
      <alignment horizontal="center" vertical="center"/>
    </xf>
    <xf numFmtId="164" fontId="19" fillId="12" borderId="4" xfId="1" applyNumberFormat="1" applyFont="1" applyFill="1" applyBorder="1" applyAlignment="1">
      <alignment horizontal="center" vertical="center"/>
    </xf>
    <xf numFmtId="164" fontId="19" fillId="0" borderId="4" xfId="1" applyNumberFormat="1" applyFont="1" applyBorder="1" applyAlignment="1">
      <alignment horizontal="center" vertical="center"/>
    </xf>
    <xf numFmtId="164" fontId="20" fillId="0" borderId="4" xfId="1" applyNumberFormat="1" applyFont="1" applyBorder="1" applyAlignment="1">
      <alignment horizontal="center" vertical="center" wrapText="1"/>
    </xf>
    <xf numFmtId="164" fontId="11" fillId="0" borderId="4" xfId="1" applyNumberFormat="1" applyFont="1" applyBorder="1" applyAlignment="1">
      <alignment horizontal="center" vertical="center" wrapText="1"/>
    </xf>
    <xf numFmtId="164" fontId="17" fillId="13" borderId="4" xfId="1" applyNumberFormat="1" applyFont="1" applyFill="1" applyBorder="1" applyAlignment="1">
      <alignment horizontal="center" vertical="center" wrapText="1"/>
    </xf>
    <xf numFmtId="0" fontId="17" fillId="14" borderId="4" xfId="1" applyFont="1" applyFill="1" applyBorder="1" applyAlignment="1">
      <alignment horizontal="center" vertical="center"/>
    </xf>
    <xf numFmtId="164" fontId="17" fillId="0" borderId="4" xfId="1" applyNumberFormat="1" applyFont="1" applyBorder="1" applyAlignment="1">
      <alignment horizontal="center" vertical="center"/>
    </xf>
    <xf numFmtId="164" fontId="19" fillId="9" borderId="4" xfId="1" applyNumberFormat="1" applyFont="1" applyFill="1" applyBorder="1" applyAlignment="1">
      <alignment horizontal="center" vertical="center"/>
    </xf>
    <xf numFmtId="164" fontId="14" fillId="0" borderId="4" xfId="1" applyNumberFormat="1" applyFont="1" applyBorder="1" applyAlignment="1">
      <alignment horizontal="center" vertical="center"/>
    </xf>
    <xf numFmtId="164" fontId="21" fillId="15" borderId="4" xfId="1" applyNumberFormat="1" applyFont="1" applyFill="1" applyBorder="1" applyAlignment="1">
      <alignment horizontal="center" vertical="center"/>
    </xf>
    <xf numFmtId="165" fontId="11" fillId="0" borderId="4" xfId="2" applyNumberFormat="1" applyFont="1" applyBorder="1" applyAlignment="1">
      <alignment horizontal="center" vertical="center"/>
    </xf>
    <xf numFmtId="0" fontId="22" fillId="0" borderId="0" xfId="0" applyFont="1"/>
    <xf numFmtId="0" fontId="9" fillId="5" borderId="4" xfId="1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 wrapText="1"/>
    </xf>
    <xf numFmtId="0" fontId="8" fillId="6" borderId="4" xfId="1" applyFont="1" applyFill="1" applyBorder="1" applyAlignment="1">
      <alignment horizontal="center" vertical="center" wrapText="1"/>
    </xf>
    <xf numFmtId="9" fontId="8" fillId="6" borderId="4" xfId="1" applyNumberFormat="1" applyFont="1" applyFill="1" applyBorder="1" applyAlignment="1">
      <alignment horizontal="center" vertical="center"/>
    </xf>
    <xf numFmtId="165" fontId="13" fillId="0" borderId="4" xfId="1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center" wrapText="1"/>
    </xf>
    <xf numFmtId="0" fontId="16" fillId="0" borderId="4" xfId="0" quotePrefix="1" applyFont="1" applyBorder="1" applyAlignment="1">
      <alignment horizontal="center" vertical="center" wrapText="1"/>
    </xf>
    <xf numFmtId="9" fontId="25" fillId="0" borderId="0" xfId="4" applyFont="1" applyAlignment="1">
      <alignment horizontal="center" vertical="center"/>
    </xf>
    <xf numFmtId="0" fontId="26" fillId="0" borderId="4" xfId="1" applyFont="1" applyBorder="1" applyAlignment="1">
      <alignment horizontal="left" vertical="center" wrapText="1"/>
    </xf>
    <xf numFmtId="0" fontId="26" fillId="0" borderId="4" xfId="1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4" fontId="16" fillId="0" borderId="4" xfId="0" applyNumberFormat="1" applyFont="1" applyBorder="1"/>
    <xf numFmtId="0" fontId="15" fillId="16" borderId="4" xfId="0" applyFont="1" applyFill="1" applyBorder="1"/>
    <xf numFmtId="2" fontId="25" fillId="0" borderId="0" xfId="4" applyNumberFormat="1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1" xfId="0" quotePrefix="1" applyFont="1" applyBorder="1" applyAlignment="1">
      <alignment horizontal="center" vertical="center" wrapText="1"/>
    </xf>
    <xf numFmtId="0" fontId="16" fillId="0" borderId="2" xfId="0" quotePrefix="1" applyFont="1" applyBorder="1" applyAlignment="1">
      <alignment horizontal="center" vertical="center" wrapText="1"/>
    </xf>
    <xf numFmtId="0" fontId="16" fillId="0" borderId="3" xfId="0" quotePrefix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18" fillId="0" borderId="4" xfId="1" applyFont="1" applyBorder="1" applyAlignment="1">
      <alignment horizontal="left" vertical="center" wrapText="1"/>
    </xf>
  </cellXfs>
  <cellStyles count="5">
    <cellStyle name="Normal" xfId="0" builtinId="0"/>
    <cellStyle name="Normal 2 2" xfId="1" xr:uid="{58962746-EEC9-4F9D-908E-0182CA036DF7}"/>
    <cellStyle name="Normal 2 3 2 2" xfId="3" xr:uid="{ABDAADBA-4B92-4ACD-9B34-6BB5783CE23B}"/>
    <cellStyle name="Normal 3 4 2" xfId="2" xr:uid="{4FA31074-0431-4727-A670-7044280290AE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412750</xdr:colOff>
      <xdr:row>13</xdr:row>
      <xdr:rowOff>1397000</xdr:rowOff>
    </xdr:from>
    <xdr:to>
      <xdr:col>4</xdr:col>
      <xdr:colOff>1546225</xdr:colOff>
      <xdr:row>13</xdr:row>
      <xdr:rowOff>2606675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AC793B90-1CE7-490C-3C7F-2CBD9C57D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5375" y="17002125"/>
          <a:ext cx="1133475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1524000</xdr:colOff>
      <xdr:row>13</xdr:row>
      <xdr:rowOff>873125</xdr:rowOff>
    </xdr:from>
    <xdr:to>
      <xdr:col>4</xdr:col>
      <xdr:colOff>4000190</xdr:colOff>
      <xdr:row>13</xdr:row>
      <xdr:rowOff>2835030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DD8C4C45-08A9-1494-2540-F505572C9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6625" y="16478250"/>
          <a:ext cx="2476190" cy="1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4C2C-30E0-49E9-A811-0E15357B9617}">
  <dimension ref="A2:AK16"/>
  <sheetViews>
    <sheetView showGridLines="0" tabSelected="1" topLeftCell="J11" zoomScale="60" zoomScaleNormal="60" workbookViewId="0">
      <selection activeCell="S16" sqref="S16"/>
    </sheetView>
  </sheetViews>
  <sheetFormatPr baseColWidth="10" defaultRowHeight="15" x14ac:dyDescent="0.25"/>
  <cols>
    <col min="1" max="1" width="4" customWidth="1"/>
    <col min="2" max="2" width="6" customWidth="1"/>
    <col min="3" max="3" width="14.85546875" customWidth="1"/>
    <col min="4" max="4" width="23.5703125" customWidth="1"/>
    <col min="5" max="5" width="64.85546875" customWidth="1"/>
    <col min="6" max="6" width="13.140625" customWidth="1"/>
    <col min="7" max="7" width="22.85546875" customWidth="1"/>
    <col min="8" max="8" width="21.42578125" customWidth="1"/>
    <col min="9" max="9" width="96.140625" customWidth="1"/>
    <col min="10" max="10" width="22.140625" customWidth="1"/>
    <col min="11" max="11" width="13.85546875" customWidth="1"/>
    <col min="13" max="13" width="31.42578125" customWidth="1"/>
    <col min="15" max="15" width="5.140625" customWidth="1"/>
    <col min="16" max="16" width="23.28515625" customWidth="1"/>
    <col min="17" max="17" width="16.7109375" customWidth="1"/>
    <col min="19" max="19" width="19" customWidth="1"/>
    <col min="20" max="20" width="20.140625" bestFit="1" customWidth="1"/>
    <col min="21" max="21" width="15.28515625" bestFit="1" customWidth="1"/>
    <col min="22" max="22" width="14.42578125" customWidth="1"/>
    <col min="23" max="23" width="16.140625" customWidth="1"/>
    <col min="24" max="24" width="17.28515625" bestFit="1" customWidth="1"/>
    <col min="25" max="25" width="22.140625" bestFit="1" customWidth="1"/>
    <col min="26" max="26" width="18.5703125" customWidth="1"/>
    <col min="27" max="27" width="17.28515625" bestFit="1" customWidth="1"/>
    <col min="31" max="31" width="19.42578125" customWidth="1"/>
    <col min="32" max="32" width="15.28515625" bestFit="1" customWidth="1"/>
    <col min="33" max="33" width="17.28515625" bestFit="1" customWidth="1"/>
    <col min="34" max="34" width="22.140625" bestFit="1" customWidth="1"/>
    <col min="35" max="35" width="15.28515625" bestFit="1" customWidth="1"/>
    <col min="36" max="36" width="16.7109375" customWidth="1"/>
    <col min="37" max="37" width="15.28515625" bestFit="1" customWidth="1"/>
  </cols>
  <sheetData>
    <row r="2" spans="1:37" s="2" customFormat="1" ht="28.5" customHeight="1" x14ac:dyDescent="0.25">
      <c r="A2"/>
      <c r="B2" s="51" t="s">
        <v>49</v>
      </c>
      <c r="C2" s="52"/>
      <c r="D2" s="52"/>
      <c r="E2" s="52"/>
      <c r="F2" s="52"/>
      <c r="G2" s="52"/>
      <c r="H2" s="52"/>
      <c r="I2" s="52"/>
      <c r="J2" s="53"/>
      <c r="K2" s="1"/>
      <c r="L2" s="1"/>
      <c r="M2" s="54" t="s">
        <v>0</v>
      </c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6"/>
    </row>
    <row r="3" spans="1:37" s="7" customFormat="1" ht="43.5" customHeight="1" x14ac:dyDescent="0.3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1"/>
      <c r="L3" s="1"/>
      <c r="M3" s="6" t="s">
        <v>10</v>
      </c>
      <c r="N3" s="6" t="s">
        <v>11</v>
      </c>
      <c r="O3" s="6" t="s">
        <v>12</v>
      </c>
      <c r="P3" s="6" t="s">
        <v>13</v>
      </c>
      <c r="Q3" s="31" t="s">
        <v>14</v>
      </c>
      <c r="R3" s="31" t="s">
        <v>15</v>
      </c>
      <c r="S3" s="31" t="s">
        <v>16</v>
      </c>
      <c r="T3" s="31" t="s">
        <v>17</v>
      </c>
      <c r="U3" s="31" t="s">
        <v>18</v>
      </c>
      <c r="V3" s="31" t="s">
        <v>19</v>
      </c>
      <c r="W3" s="31" t="s">
        <v>20</v>
      </c>
      <c r="X3" s="6" t="s">
        <v>21</v>
      </c>
      <c r="Y3" s="6" t="s">
        <v>22</v>
      </c>
      <c r="Z3" s="32" t="s">
        <v>23</v>
      </c>
      <c r="AA3" s="32" t="s">
        <v>24</v>
      </c>
      <c r="AB3" s="32" t="s">
        <v>25</v>
      </c>
      <c r="AC3" s="32" t="s">
        <v>26</v>
      </c>
      <c r="AD3" s="32" t="s">
        <v>27</v>
      </c>
      <c r="AE3" s="32" t="s">
        <v>28</v>
      </c>
      <c r="AF3" s="6" t="s">
        <v>29</v>
      </c>
      <c r="AG3" s="6" t="s">
        <v>30</v>
      </c>
      <c r="AH3" s="33" t="s">
        <v>18</v>
      </c>
      <c r="AI3" s="33" t="s">
        <v>31</v>
      </c>
      <c r="AJ3" s="33" t="s">
        <v>32</v>
      </c>
      <c r="AK3" s="34" t="s">
        <v>33</v>
      </c>
    </row>
    <row r="4" spans="1:37" s="30" customFormat="1" ht="334.5" customHeight="1" x14ac:dyDescent="0.35">
      <c r="A4" s="8"/>
      <c r="B4" s="41">
        <v>1</v>
      </c>
      <c r="C4" s="46" t="s">
        <v>53</v>
      </c>
      <c r="D4" s="47"/>
      <c r="E4" s="36" t="s">
        <v>34</v>
      </c>
      <c r="F4" s="9">
        <v>50</v>
      </c>
      <c r="G4" s="10">
        <v>20.99</v>
      </c>
      <c r="H4" s="40" t="s">
        <v>52</v>
      </c>
      <c r="I4" s="39" t="s">
        <v>51</v>
      </c>
      <c r="J4" s="11">
        <f t="shared" ref="J4" si="0">F4*G4</f>
        <v>1049.5</v>
      </c>
      <c r="K4" s="45">
        <v>15.29</v>
      </c>
      <c r="L4" s="38">
        <f>T4/J4</f>
        <v>0.26202953787517863</v>
      </c>
      <c r="M4" s="12" t="s">
        <v>43</v>
      </c>
      <c r="N4" s="48" t="s">
        <v>45</v>
      </c>
      <c r="O4" s="49"/>
      <c r="P4" s="50"/>
      <c r="Q4" s="13">
        <v>11</v>
      </c>
      <c r="R4" s="14">
        <v>50</v>
      </c>
      <c r="S4" s="15">
        <f t="shared" ref="S4" si="1">Q4*R4/100</f>
        <v>5.5</v>
      </c>
      <c r="T4" s="16">
        <f t="shared" ref="T4" si="2">S4*V4</f>
        <v>275</v>
      </c>
      <c r="U4" s="17">
        <f t="shared" ref="U4" si="3">Q4+S4</f>
        <v>16.5</v>
      </c>
      <c r="V4" s="18">
        <f>F4</f>
        <v>50</v>
      </c>
      <c r="W4" s="19">
        <f>Q4*3</f>
        <v>33</v>
      </c>
      <c r="X4" s="20">
        <f>25+80</f>
        <v>105</v>
      </c>
      <c r="Y4" s="21">
        <f t="shared" ref="Y4" si="4">V4*U4+W4+X4</f>
        <v>963</v>
      </c>
      <c r="Z4" s="22" t="s">
        <v>50</v>
      </c>
      <c r="AA4" s="23">
        <v>35</v>
      </c>
      <c r="AB4" s="24">
        <v>1</v>
      </c>
      <c r="AC4" s="24">
        <v>1</v>
      </c>
      <c r="AD4" s="24">
        <v>1</v>
      </c>
      <c r="AE4" s="25">
        <f t="shared" ref="AE4" si="5">AA4*AB4*AC4*AD4</f>
        <v>35</v>
      </c>
      <c r="AF4" s="26">
        <f>V4/25*3.85</f>
        <v>7.7</v>
      </c>
      <c r="AG4" s="27">
        <f t="shared" ref="AG4" si="6">1%*(Y4+AE4+AF4)</f>
        <v>10.057</v>
      </c>
      <c r="AH4" s="25">
        <f t="shared" ref="AH4" si="7">Y4+AE4+AG4+AF4</f>
        <v>1015.7570000000001</v>
      </c>
      <c r="AI4" s="28">
        <f t="shared" ref="AI4" si="8">AH4/V4</f>
        <v>20.31514</v>
      </c>
      <c r="AJ4" s="29">
        <f t="shared" ref="AJ4" si="9">AI4*18%</f>
        <v>3.6567251999999999</v>
      </c>
      <c r="AK4" s="35">
        <f t="shared" ref="AK4" si="10">AI4+AJ4</f>
        <v>23.9718652</v>
      </c>
    </row>
    <row r="6" spans="1:37" s="2" customFormat="1" ht="27" customHeight="1" x14ac:dyDescent="0.25">
      <c r="A6"/>
      <c r="B6" s="51" t="s">
        <v>49</v>
      </c>
      <c r="C6" s="52"/>
      <c r="D6" s="52"/>
      <c r="E6" s="52"/>
      <c r="F6" s="52"/>
      <c r="G6" s="52"/>
      <c r="H6" s="52"/>
      <c r="I6" s="52"/>
      <c r="J6" s="53"/>
      <c r="K6" s="1"/>
      <c r="L6" s="1"/>
      <c r="M6" s="54" t="s">
        <v>0</v>
      </c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6"/>
    </row>
    <row r="7" spans="1:37" s="7" customFormat="1" ht="43.5" customHeight="1" x14ac:dyDescent="0.3">
      <c r="A7" s="3"/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5" t="s">
        <v>6</v>
      </c>
      <c r="H7" s="5" t="s">
        <v>7</v>
      </c>
      <c r="I7" s="5" t="s">
        <v>8</v>
      </c>
      <c r="J7" s="5" t="s">
        <v>9</v>
      </c>
      <c r="K7" s="1"/>
      <c r="L7" s="1"/>
      <c r="M7" s="6" t="s">
        <v>10</v>
      </c>
      <c r="N7" s="6" t="s">
        <v>11</v>
      </c>
      <c r="O7" s="6" t="s">
        <v>12</v>
      </c>
      <c r="P7" s="6" t="s">
        <v>13</v>
      </c>
      <c r="Q7" s="31" t="s">
        <v>14</v>
      </c>
      <c r="R7" s="31" t="s">
        <v>15</v>
      </c>
      <c r="S7" s="31" t="s">
        <v>16</v>
      </c>
      <c r="T7" s="31" t="s">
        <v>17</v>
      </c>
      <c r="U7" s="31" t="s">
        <v>18</v>
      </c>
      <c r="V7" s="31" t="s">
        <v>19</v>
      </c>
      <c r="W7" s="31" t="s">
        <v>20</v>
      </c>
      <c r="X7" s="6" t="s">
        <v>21</v>
      </c>
      <c r="Y7" s="6" t="s">
        <v>22</v>
      </c>
      <c r="Z7" s="32" t="s">
        <v>23</v>
      </c>
      <c r="AA7" s="32" t="s">
        <v>24</v>
      </c>
      <c r="AB7" s="32" t="s">
        <v>25</v>
      </c>
      <c r="AC7" s="32" t="s">
        <v>26</v>
      </c>
      <c r="AD7" s="32" t="s">
        <v>27</v>
      </c>
      <c r="AE7" s="32" t="s">
        <v>28</v>
      </c>
      <c r="AF7" s="6" t="s">
        <v>29</v>
      </c>
      <c r="AG7" s="6" t="s">
        <v>30</v>
      </c>
      <c r="AH7" s="33" t="s">
        <v>18</v>
      </c>
      <c r="AI7" s="33" t="s">
        <v>31</v>
      </c>
      <c r="AJ7" s="33" t="s">
        <v>32</v>
      </c>
      <c r="AK7" s="34" t="s">
        <v>33</v>
      </c>
    </row>
    <row r="8" spans="1:37" s="30" customFormat="1" ht="277.5" customHeight="1" x14ac:dyDescent="0.35">
      <c r="A8" s="8"/>
      <c r="B8" s="41">
        <v>1</v>
      </c>
      <c r="C8" s="42" t="s">
        <v>37</v>
      </c>
      <c r="D8" s="42" t="s">
        <v>39</v>
      </c>
      <c r="E8" s="36" t="s">
        <v>34</v>
      </c>
      <c r="F8" s="9">
        <v>1000</v>
      </c>
      <c r="G8" s="10">
        <v>0.99</v>
      </c>
      <c r="H8" s="40" t="s">
        <v>48</v>
      </c>
      <c r="I8" s="39" t="s">
        <v>46</v>
      </c>
      <c r="J8" s="11">
        <f t="shared" ref="J8:J9" si="11">F8*G8</f>
        <v>990</v>
      </c>
      <c r="K8" s="38" t="e">
        <f>S8/I8</f>
        <v>#VALUE!</v>
      </c>
      <c r="L8" s="38">
        <f>T8/J8</f>
        <v>0.32774092859929765</v>
      </c>
      <c r="M8" s="12" t="s">
        <v>36</v>
      </c>
      <c r="N8" s="48" t="s">
        <v>38</v>
      </c>
      <c r="O8" s="50"/>
      <c r="P8" s="37" t="s">
        <v>42</v>
      </c>
      <c r="Q8" s="13">
        <f>0.42/1.165</f>
        <v>0.36051502145922742</v>
      </c>
      <c r="R8" s="14">
        <v>90</v>
      </c>
      <c r="S8" s="15">
        <f t="shared" ref="S8:S9" si="12">Q8*R8/100</f>
        <v>0.32446351931330469</v>
      </c>
      <c r="T8" s="16">
        <f t="shared" ref="T8:T9" si="13">S8*V8</f>
        <v>324.46351931330469</v>
      </c>
      <c r="U8" s="17">
        <f t="shared" ref="U8:U9" si="14">Q8+S8</f>
        <v>0.68497854077253217</v>
      </c>
      <c r="V8" s="18">
        <f>F8</f>
        <v>1000</v>
      </c>
      <c r="W8" s="19">
        <f>Q8*10</f>
        <v>3.6051502145922742</v>
      </c>
      <c r="X8" s="20">
        <v>90</v>
      </c>
      <c r="Y8" s="21">
        <f t="shared" ref="Y8:Y9" si="15">V8*U8+W8+X8</f>
        <v>778.58369098712444</v>
      </c>
      <c r="Z8" s="22" t="s">
        <v>35</v>
      </c>
      <c r="AA8" s="23">
        <v>100</v>
      </c>
      <c r="AB8" s="24">
        <v>1</v>
      </c>
      <c r="AC8" s="24">
        <v>2</v>
      </c>
      <c r="AD8" s="24">
        <v>1</v>
      </c>
      <c r="AE8" s="25">
        <f t="shared" ref="AE8:AE9" si="16">AA8*AB8*AC8*AD8</f>
        <v>200</v>
      </c>
      <c r="AF8" s="26">
        <v>3.85</v>
      </c>
      <c r="AG8" s="27">
        <f>1%*(Y8+AE8+AF8)</f>
        <v>9.8243369098712456</v>
      </c>
      <c r="AH8" s="25">
        <f t="shared" ref="AH8:AH9" si="17">Y8+AE8+AG8+AF8</f>
        <v>992.25802789699571</v>
      </c>
      <c r="AI8" s="28">
        <f t="shared" ref="AI8:AI9" si="18">AH8/V8</f>
        <v>0.99225802789699569</v>
      </c>
      <c r="AJ8" s="29">
        <f t="shared" ref="AJ8:AJ9" si="19">AI8*18%</f>
        <v>0.17860644502145923</v>
      </c>
      <c r="AK8" s="35">
        <f t="shared" ref="AK8:AK9" si="20">AI8+AJ8</f>
        <v>1.170864472918455</v>
      </c>
    </row>
    <row r="9" spans="1:37" s="30" customFormat="1" ht="334.5" customHeight="1" x14ac:dyDescent="0.35">
      <c r="A9" s="8"/>
      <c r="B9" s="41">
        <v>2</v>
      </c>
      <c r="C9" s="46" t="s">
        <v>41</v>
      </c>
      <c r="D9" s="47"/>
      <c r="E9" s="36" t="s">
        <v>34</v>
      </c>
      <c r="F9" s="9">
        <v>100</v>
      </c>
      <c r="G9" s="10">
        <v>15.29</v>
      </c>
      <c r="H9" s="40" t="s">
        <v>40</v>
      </c>
      <c r="I9" s="39" t="s">
        <v>47</v>
      </c>
      <c r="J9" s="11">
        <f t="shared" si="11"/>
        <v>1529</v>
      </c>
      <c r="K9" s="38" t="e">
        <f>S9/I9</f>
        <v>#VALUE!</v>
      </c>
      <c r="L9" s="38">
        <f>T9/J9</f>
        <v>0.24852844996729889</v>
      </c>
      <c r="M9" s="12" t="s">
        <v>43</v>
      </c>
      <c r="N9" s="48" t="s">
        <v>45</v>
      </c>
      <c r="O9" s="49"/>
      <c r="P9" s="50"/>
      <c r="Q9" s="13">
        <v>9.5</v>
      </c>
      <c r="R9" s="14">
        <v>40</v>
      </c>
      <c r="S9" s="15">
        <f t="shared" si="12"/>
        <v>3.8</v>
      </c>
      <c r="T9" s="16">
        <f t="shared" si="13"/>
        <v>380</v>
      </c>
      <c r="U9" s="17">
        <f t="shared" si="14"/>
        <v>13.3</v>
      </c>
      <c r="V9" s="18">
        <f>F9</f>
        <v>100</v>
      </c>
      <c r="W9" s="19">
        <f>Q9*3+30</f>
        <v>58.5</v>
      </c>
      <c r="X9" s="20">
        <f>15+25+60</f>
        <v>100</v>
      </c>
      <c r="Y9" s="21">
        <f t="shared" si="15"/>
        <v>1488.5</v>
      </c>
      <c r="Z9" s="22" t="s">
        <v>44</v>
      </c>
      <c r="AA9" s="23">
        <v>0</v>
      </c>
      <c r="AB9" s="24">
        <v>1</v>
      </c>
      <c r="AC9" s="24">
        <v>1</v>
      </c>
      <c r="AD9" s="24">
        <v>1</v>
      </c>
      <c r="AE9" s="25">
        <f t="shared" si="16"/>
        <v>0</v>
      </c>
      <c r="AF9" s="26">
        <f>V9/25*3.85</f>
        <v>15.4</v>
      </c>
      <c r="AG9" s="27">
        <f t="shared" ref="AG9" si="21">1%*(Y9+AE9+AF9)</f>
        <v>15.039000000000001</v>
      </c>
      <c r="AH9" s="25">
        <f t="shared" si="17"/>
        <v>1518.9390000000001</v>
      </c>
      <c r="AI9" s="28">
        <f t="shared" si="18"/>
        <v>15.189390000000001</v>
      </c>
      <c r="AJ9" s="29">
        <f t="shared" si="19"/>
        <v>2.7340902000000002</v>
      </c>
      <c r="AK9" s="35">
        <f t="shared" si="20"/>
        <v>17.9234802</v>
      </c>
    </row>
    <row r="10" spans="1:37" ht="20.25" x14ac:dyDescent="0.3">
      <c r="I10" s="44" t="s">
        <v>33</v>
      </c>
      <c r="J10" s="43">
        <f>J8+J9</f>
        <v>2519</v>
      </c>
    </row>
    <row r="12" spans="1:37" s="2" customFormat="1" ht="28.5" customHeight="1" x14ac:dyDescent="0.25">
      <c r="A12"/>
      <c r="B12" s="51" t="s">
        <v>58</v>
      </c>
      <c r="C12" s="52"/>
      <c r="D12" s="52"/>
      <c r="E12" s="52"/>
      <c r="F12" s="52"/>
      <c r="G12" s="52"/>
      <c r="H12" s="52"/>
      <c r="I12" s="52"/>
      <c r="J12" s="53"/>
      <c r="K12" s="1"/>
      <c r="L12" s="1"/>
      <c r="M12" s="54" t="s">
        <v>0</v>
      </c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6"/>
    </row>
    <row r="13" spans="1:37" s="7" customFormat="1" ht="43.5" customHeight="1" x14ac:dyDescent="0.3">
      <c r="A13" s="3"/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1"/>
      <c r="L13" s="1"/>
      <c r="M13" s="6" t="s">
        <v>10</v>
      </c>
      <c r="N13" s="6" t="s">
        <v>11</v>
      </c>
      <c r="O13" s="6" t="s">
        <v>12</v>
      </c>
      <c r="P13" s="6" t="s">
        <v>13</v>
      </c>
      <c r="Q13" s="31" t="s">
        <v>14</v>
      </c>
      <c r="R13" s="31" t="s">
        <v>15</v>
      </c>
      <c r="S13" s="31" t="s">
        <v>16</v>
      </c>
      <c r="T13" s="31" t="s">
        <v>17</v>
      </c>
      <c r="U13" s="31" t="s">
        <v>18</v>
      </c>
      <c r="V13" s="31" t="s">
        <v>19</v>
      </c>
      <c r="W13" s="31" t="s">
        <v>20</v>
      </c>
      <c r="X13" s="6" t="s">
        <v>21</v>
      </c>
      <c r="Y13" s="6" t="s">
        <v>22</v>
      </c>
      <c r="Z13" s="32" t="s">
        <v>23</v>
      </c>
      <c r="AA13" s="32" t="s">
        <v>24</v>
      </c>
      <c r="AB13" s="32" t="s">
        <v>25</v>
      </c>
      <c r="AC13" s="32" t="s">
        <v>26</v>
      </c>
      <c r="AD13" s="32" t="s">
        <v>27</v>
      </c>
      <c r="AE13" s="32" t="s">
        <v>28</v>
      </c>
      <c r="AF13" s="6" t="s">
        <v>29</v>
      </c>
      <c r="AG13" s="6" t="s">
        <v>30</v>
      </c>
      <c r="AH13" s="33" t="s">
        <v>18</v>
      </c>
      <c r="AI13" s="33" t="s">
        <v>31</v>
      </c>
      <c r="AJ13" s="33" t="s">
        <v>32</v>
      </c>
      <c r="AK13" s="34" t="s">
        <v>33</v>
      </c>
    </row>
    <row r="14" spans="1:37" s="30" customFormat="1" ht="280.5" customHeight="1" x14ac:dyDescent="0.35">
      <c r="A14" s="8"/>
      <c r="B14" s="41">
        <v>2</v>
      </c>
      <c r="C14" s="46" t="s">
        <v>56</v>
      </c>
      <c r="D14" s="47"/>
      <c r="E14" s="36" t="s">
        <v>34</v>
      </c>
      <c r="F14" s="9">
        <v>9</v>
      </c>
      <c r="G14" s="10">
        <f>AI14</f>
        <v>20.086557971014493</v>
      </c>
      <c r="H14" s="40" t="s">
        <v>59</v>
      </c>
      <c r="I14" s="57" t="s">
        <v>57</v>
      </c>
      <c r="J14" s="11">
        <f t="shared" ref="J14" si="22">F14*G14</f>
        <v>180.77902173913043</v>
      </c>
      <c r="K14" s="38"/>
      <c r="L14" s="38">
        <f t="shared" ref="K14:L14" si="23">T14/J14</f>
        <v>0.28745159085046784</v>
      </c>
      <c r="M14" s="12" t="s">
        <v>54</v>
      </c>
      <c r="N14" s="48" t="s">
        <v>55</v>
      </c>
      <c r="O14" s="49"/>
      <c r="P14" s="50"/>
      <c r="Q14" s="13">
        <f>8.3/1.15</f>
        <v>7.2173913043478271</v>
      </c>
      <c r="R14" s="14">
        <v>80</v>
      </c>
      <c r="S14" s="15">
        <f t="shared" ref="S14" si="24">Q14*R14/100</f>
        <v>5.7739130434782613</v>
      </c>
      <c r="T14" s="16">
        <f t="shared" ref="T14" si="25">S14*V14</f>
        <v>51.96521739130435</v>
      </c>
      <c r="U14" s="17">
        <f t="shared" ref="U14" si="26">Q14+S14</f>
        <v>12.991304347826087</v>
      </c>
      <c r="V14" s="18">
        <f>F14</f>
        <v>9</v>
      </c>
      <c r="W14" s="19">
        <f>Q14*1</f>
        <v>7.2173913043478271</v>
      </c>
      <c r="X14" s="20">
        <v>50</v>
      </c>
      <c r="Y14" s="21">
        <f t="shared" ref="Y14" si="27">V14*U14+W14+X14</f>
        <v>174.1391304347826</v>
      </c>
      <c r="Z14" s="22" t="s">
        <v>44</v>
      </c>
      <c r="AA14" s="23">
        <v>0</v>
      </c>
      <c r="AB14" s="24">
        <v>1</v>
      </c>
      <c r="AC14" s="24">
        <v>1</v>
      </c>
      <c r="AD14" s="24">
        <v>1</v>
      </c>
      <c r="AE14" s="25">
        <f t="shared" ref="AE14" si="28">AA14*AB14*AC14*AD14</f>
        <v>0</v>
      </c>
      <c r="AF14" s="26">
        <v>4.8499999999999996</v>
      </c>
      <c r="AG14" s="27">
        <f>1%*(Y14+AE14+AF14)</f>
        <v>1.789891304347826</v>
      </c>
      <c r="AH14" s="25">
        <f t="shared" ref="AH14" si="29">Y14+AE14+AG14+AF14</f>
        <v>180.77902173913043</v>
      </c>
      <c r="AI14" s="28">
        <f t="shared" ref="AI14" si="30">AH14/V14</f>
        <v>20.086557971014493</v>
      </c>
      <c r="AJ14" s="29">
        <f t="shared" ref="AJ14" si="31">AI14*18%</f>
        <v>3.6155804347826086</v>
      </c>
      <c r="AK14" s="35">
        <f t="shared" ref="AK14" si="32">AI14+AJ14</f>
        <v>23.702138405797101</v>
      </c>
    </row>
    <row r="15" spans="1:37" ht="63.75" customHeight="1" x14ac:dyDescent="0.25"/>
    <row r="16" spans="1:37" ht="277.5" customHeight="1" x14ac:dyDescent="0.25"/>
  </sheetData>
  <mergeCells count="13">
    <mergeCell ref="B12:J12"/>
    <mergeCell ref="M12:AC12"/>
    <mergeCell ref="C14:D14"/>
    <mergeCell ref="N14:P14"/>
    <mergeCell ref="C9:D9"/>
    <mergeCell ref="N9:P9"/>
    <mergeCell ref="B2:J2"/>
    <mergeCell ref="M2:AC2"/>
    <mergeCell ref="C4:D4"/>
    <mergeCell ref="N4:P4"/>
    <mergeCell ref="B6:J6"/>
    <mergeCell ref="M6:AC6"/>
    <mergeCell ref="N8:O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soporte.pruebas001@hotmail.com</dc:creator>
  <cp:lastModifiedBy>Compipro SAC</cp:lastModifiedBy>
  <dcterms:created xsi:type="dcterms:W3CDTF">2023-11-28T14:49:14Z</dcterms:created>
  <dcterms:modified xsi:type="dcterms:W3CDTF">2026-05-07T16:02:53Z</dcterms:modified>
</cp:coreProperties>
</file>