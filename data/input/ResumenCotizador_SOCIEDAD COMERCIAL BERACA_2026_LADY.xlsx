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SOCIEDAD COMERCIAL BERACA/BD Cotizaciones/"/>
    </mc:Choice>
  </mc:AlternateContent>
  <xr:revisionPtr revIDLastSave="6" documentId="8_{F0D0CCBE-561E-4EFB-A1E4-175A06096055}" xr6:coauthVersionLast="47" xr6:coauthVersionMax="47" xr10:uidLastSave="{A34C038B-C9B6-4E2C-BB73-A61BF0649A4C}"/>
  <bookViews>
    <workbookView xWindow="-120" yWindow="-120" windowWidth="29040" windowHeight="15840" xr2:uid="{7E3ACFA3-5A52-4A8A-A888-36307B6B6AB9}"/>
  </bookViews>
  <sheets>
    <sheet name="MARZ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4" i="1" l="1"/>
  <c r="AF4" i="1"/>
  <c r="V4" i="1"/>
  <c r="Q4" i="1"/>
  <c r="W4" i="1" s="1"/>
  <c r="S4" i="1" l="1"/>
  <c r="U4" i="1"/>
  <c r="T4" i="1" l="1"/>
  <c r="Y4" i="1"/>
  <c r="AG4" i="1" l="1"/>
  <c r="AH4" i="1" s="1"/>
  <c r="AI4" i="1" s="1"/>
  <c r="J4" i="1" l="1"/>
  <c r="L4" i="1" s="1"/>
  <c r="AJ4" i="1"/>
  <c r="AK4" i="1" s="1"/>
</calcChain>
</file>

<file path=xl/sharedStrings.xml><?xml version="1.0" encoding="utf-8"?>
<sst xmlns="http://schemas.openxmlformats.org/spreadsheetml/2006/main" count="45" uniqueCount="44">
  <si>
    <t>MARGEN GANANCIA, MIN. - S/.150 - PARA PEDIDOS POCOS COMO 30 -50-100 UNID. DE PRODUCTOS ECONOM. (EJM. LAPICEROS, LLAVEROS PLASTICOS)
PROMEDIA - S/.400 A 500 - PARA PEDIDOS MAS DE 150 UNID DE PRODCUCTOS COSTO MEDIO-ALTO (EJM. LAPICEROS METALICOS)</t>
  </si>
  <si>
    <t>Nº</t>
  </si>
  <si>
    <t>Cód. Artíc.</t>
  </si>
  <si>
    <t>Artículo</t>
  </si>
  <si>
    <t>Foto</t>
  </si>
  <si>
    <t xml:space="preserve">Cant. </t>
  </si>
  <si>
    <t>Tiempo Entrega</t>
  </si>
  <si>
    <t>Detalles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</si>
  <si>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</si>
  <si>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</si>
  <si>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</si>
  <si>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</si>
  <si>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</si>
  <si>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</si>
  <si>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</si>
  <si>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</si>
  <si>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</si>
  <si>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</si>
  <si>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</si>
  <si>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</si>
  <si>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</si>
  <si>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</si>
  <si>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</si>
  <si>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</si>
  <si>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</si>
  <si>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</si>
  <si>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</si>
  <si>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</si>
  <si>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</si>
  <si>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</si>
  <si>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</si>
  <si>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</si>
  <si>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*Imagen Referencial</t>
  </si>
  <si>
    <t>5 a 7 Días útiles</t>
  </si>
  <si>
    <t>LAPIZ SEMILLA</t>
  </si>
  <si>
    <t xml:space="preserve">RONALD GARCIA </t>
  </si>
  <si>
    <t>S/0,60+ IGV</t>
  </si>
  <si>
    <t>WILFREDO</t>
  </si>
  <si>
    <t>Costo Total (S/.) 
NO Incl IGV</t>
  </si>
  <si>
    <t>Costo Uni. (S/.) NO Incl IGV</t>
  </si>
  <si>
    <t>COTIZACIÓN PROPUESTA_SOCIEDAD COMERCIAL BERACA_12.05.26</t>
  </si>
  <si>
    <t>50/50
BARRIOS ALTOS</t>
  </si>
  <si>
    <r>
      <t xml:space="preserve">LAPIZ SEMILLA + TARJETA
</t>
    </r>
    <r>
      <rPr>
        <sz val="16"/>
        <color theme="1"/>
        <rFont val="Arial"/>
        <family val="2"/>
      </rPr>
      <t>LAPIZ SEMILLA</t>
    </r>
    <r>
      <rPr>
        <b/>
        <u/>
        <sz val="16"/>
        <color theme="1"/>
        <rFont val="Arial"/>
        <family val="2"/>
      </rPr>
      <t xml:space="preserve">
</t>
    </r>
    <r>
      <rPr>
        <sz val="16"/>
        <color theme="1"/>
        <rFont val="Arial"/>
        <family val="2"/>
      </rPr>
      <t xml:space="preserve">Lápiz ecológico de madera que contiene una cápsula con semillas variadas pre plantadas (sujetos a stock disponible). Una vez acaba la vida útil del lápiz, se siembra para germinar flores, arboles, aromáticas o ricos vegetales.
Material: Madera
Color cápsula: Blanco, verde, celeste, naranja y otros
TARJETAS
Tarjeta ecológica porta lapiz, en cartón reciclado 
Medida: 22 x 6 cm aprox 
Impreso a 1 color con diseño estandar con  instrucciones a 1 lado, reverso sin impresión (para poner diseño opcional)
Presentación: Caja grupales, entrega por separado lapices y tarjetas.
</t>
    </r>
    <r>
      <rPr>
        <b/>
        <sz val="16"/>
        <color rgb="FFFF0000"/>
        <rFont val="Arial"/>
        <family val="2"/>
      </rPr>
      <t>*Incluye logo a 1 color por 1 lado en el lapiz
*Diseño o arte debe ser facilitado por el cliente.
*Costo adicional por full color a 1 lado S/.0.49 + IGV
*Costo adicional por logo a 1 color en tarjeta: + S/ 0.90 + IGV
*Descuento: -S/,0,50 sin Tarjeta</t>
    </r>
  </si>
  <si>
    <t>4,29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</si>
</sst>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S/.-280A]\ #,##0.00"/>
    <numFmt numFmtId="165" formatCode="&quot;S/.&quot;\ #,##0.00"/>
    <numFmt numFmtId="166" formatCode="_-[$$-409]* #,##0.00_ ;_-[$$-409]* \-#,##0.00\ ;_-[$$-409]* &quot;-&quot;??_ ;_-@_ "/>
    <numFmt numFmtId="167" formatCode="_ * #,##0.00_ ;_ * \-#,##0.00_ ;_ * &quot;-&quot;??_ ;_ @_ "/>
  </numFmts>
  <fonts count="33">
    <font>
      <sz val="11"/>
      <color rgb="FF000000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8"/>
      <name val="Arial"/>
      <family val="2"/>
    </font>
    <font>
      <b/>
      <sz val="16"/>
      <color rgb="FFFF0000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b/>
      <sz val="12"/>
      <color rgb="FFFFFFFF"/>
      <name val="Arial"/>
      <family val="2"/>
    </font>
    <font>
      <sz val="16"/>
      <color rgb="FF000000"/>
      <name val="Arial"/>
      <family val="2"/>
    </font>
    <font>
      <sz val="16"/>
      <name val="Arial"/>
      <family val="2"/>
    </font>
    <font>
      <sz val="18"/>
      <name val="Arial"/>
      <family val="2"/>
    </font>
    <font>
      <b/>
      <sz val="14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sz val="14"/>
      <color indexed="8"/>
      <name val="Arial"/>
      <family val="2"/>
    </font>
    <font>
      <sz val="11"/>
      <color indexed="8"/>
      <name val="Calibri"/>
      <family val="2"/>
    </font>
    <font>
      <b/>
      <sz val="18"/>
      <color theme="1"/>
      <name val="Arial"/>
      <family val="2"/>
    </font>
    <font>
      <sz val="16"/>
      <color theme="1"/>
      <name val="Arial"/>
      <family val="2"/>
    </font>
    <font>
      <sz val="12"/>
      <name val="宋体"/>
      <charset val="134"/>
    </font>
    <font>
      <sz val="18"/>
      <color theme="1"/>
      <name val="Arial"/>
      <family val="2"/>
    </font>
    <font>
      <sz val="18"/>
      <color indexed="8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indexed="52"/>
      <name val="Tahoma"/>
      <family val="2"/>
      <charset val="1"/>
    </font>
    <font>
      <b/>
      <sz val="18"/>
      <color indexed="10"/>
      <name val="Arial"/>
      <family val="2"/>
    </font>
    <font>
      <b/>
      <sz val="11"/>
      <color rgb="FF000000"/>
      <name val="Arial"/>
      <family val="2"/>
    </font>
    <font>
      <b/>
      <u/>
      <sz val="16"/>
      <color theme="1"/>
      <name val="Arial"/>
      <family val="2"/>
    </font>
    <font>
      <b/>
      <sz val="18"/>
      <color indexed="8"/>
      <name val="Arial"/>
      <family val="2"/>
    </font>
    <font>
      <sz val="18"/>
      <color rgb="FFFF0000"/>
      <name val="Arial"/>
      <family val="2"/>
    </font>
    <font>
      <b/>
      <sz val="18"/>
      <color theme="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003366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8"/>
      </patternFill>
    </fill>
    <fill>
      <patternFill patternType="solid">
        <fgColor indexed="22"/>
        <bgColor indexed="8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</borders>
  <cellStyleXfs count="18">
    <xf numFmtId="0" fontId="0" fillId="0" borderId="0"/>
    <xf numFmtId="9" fontId="3" fillId="0" borderId="0" applyFont="0" applyFill="0" applyBorder="0" applyAlignment="0" applyProtection="0"/>
    <xf numFmtId="0" fontId="7" fillId="0" borderId="0"/>
    <xf numFmtId="0" fontId="2" fillId="0" borderId="0"/>
    <xf numFmtId="166" fontId="18" fillId="0" borderId="0" applyFont="0" applyFill="0" applyBorder="0" applyAlignment="0" applyProtection="0"/>
    <xf numFmtId="0" fontId="7" fillId="0" borderId="0"/>
    <xf numFmtId="0" fontId="2" fillId="0" borderId="0"/>
    <xf numFmtId="0" fontId="21" fillId="0" borderId="0"/>
    <xf numFmtId="166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66" fontId="18" fillId="0" borderId="0" applyFont="0" applyFill="0" applyBorder="0" applyAlignment="0" applyProtection="0"/>
    <xf numFmtId="0" fontId="26" fillId="0" borderId="6" applyProtection="0">
      <alignment vertical="center"/>
    </xf>
    <xf numFmtId="0" fontId="18" fillId="0" borderId="0"/>
    <xf numFmtId="0" fontId="1" fillId="0" borderId="0"/>
  </cellStyleXfs>
  <cellXfs count="58">
    <xf numFmtId="0" fontId="0" fillId="0" borderId="0" xfId="0"/>
    <xf numFmtId="0" fontId="7" fillId="0" borderId="0" xfId="0" applyFont="1"/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7" fillId="0" borderId="0" xfId="2" applyFont="1"/>
    <xf numFmtId="0" fontId="14" fillId="2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5" fillId="0" borderId="0" xfId="2" applyFont="1"/>
    <xf numFmtId="9" fontId="20" fillId="6" borderId="0" xfId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9" fontId="9" fillId="5" borderId="4" xfId="0" applyNumberFormat="1" applyFont="1" applyFill="1" applyBorder="1" applyAlignment="1">
      <alignment horizontal="center" vertical="center"/>
    </xf>
    <xf numFmtId="0" fontId="24" fillId="0" borderId="0" xfId="0" applyFont="1"/>
    <xf numFmtId="0" fontId="25" fillId="0" borderId="0" xfId="0" applyFont="1"/>
    <xf numFmtId="0" fontId="11" fillId="0" borderId="0" xfId="0" applyFont="1" applyAlignment="1">
      <alignment horizontal="center" vertical="center"/>
    </xf>
    <xf numFmtId="0" fontId="4" fillId="8" borderId="5" xfId="2" applyFont="1" applyFill="1" applyBorder="1" applyAlignment="1">
      <alignment horizontal="center" vertical="center"/>
    </xf>
    <xf numFmtId="165" fontId="27" fillId="7" borderId="5" xfId="2" applyNumberFormat="1" applyFont="1" applyFill="1" applyBorder="1" applyAlignment="1">
      <alignment horizontal="center" vertical="center"/>
    </xf>
    <xf numFmtId="165" fontId="22" fillId="8" borderId="5" xfId="2" applyNumberFormat="1" applyFont="1" applyFill="1" applyBorder="1" applyAlignment="1">
      <alignment horizontal="center" vertical="center"/>
    </xf>
    <xf numFmtId="165" fontId="23" fillId="0" borderId="5" xfId="2" applyNumberFormat="1" applyFont="1" applyBorder="1" applyAlignment="1">
      <alignment horizontal="center" vertical="center"/>
    </xf>
    <xf numFmtId="0" fontId="28" fillId="0" borderId="0" xfId="0" applyFont="1" applyAlignment="1">
      <alignment horizontal="center"/>
    </xf>
    <xf numFmtId="165" fontId="13" fillId="6" borderId="5" xfId="2" applyNumberFormat="1" applyFont="1" applyFill="1" applyBorder="1" applyAlignment="1">
      <alignment horizontal="center" vertical="center" wrapText="1"/>
    </xf>
    <xf numFmtId="0" fontId="12" fillId="7" borderId="5" xfId="2" applyFont="1" applyFill="1" applyBorder="1" applyAlignment="1">
      <alignment horizontal="center" vertical="center" wrapText="1"/>
    </xf>
    <xf numFmtId="167" fontId="5" fillId="6" borderId="5" xfId="2" applyNumberFormat="1" applyFont="1" applyFill="1" applyBorder="1" applyAlignment="1">
      <alignment horizontal="center"/>
    </xf>
    <xf numFmtId="0" fontId="4" fillId="0" borderId="5" xfId="2" applyFont="1" applyBorder="1" applyAlignment="1">
      <alignment horizontal="center" vertical="center" wrapText="1"/>
    </xf>
    <xf numFmtId="164" fontId="19" fillId="6" borderId="5" xfId="2" applyNumberFormat="1" applyFont="1" applyFill="1" applyBorder="1" applyAlignment="1">
      <alignment horizontal="center" vertical="center"/>
    </xf>
    <xf numFmtId="0" fontId="20" fillId="6" borderId="5" xfId="11" applyFont="1" applyFill="1" applyBorder="1" applyAlignment="1">
      <alignment horizontal="center" vertical="center" wrapText="1"/>
    </xf>
    <xf numFmtId="0" fontId="29" fillId="6" borderId="5" xfId="2" applyFont="1" applyFill="1" applyBorder="1" applyAlignment="1">
      <alignment horizontal="left" vertical="center" wrapText="1"/>
    </xf>
    <xf numFmtId="49" fontId="4" fillId="6" borderId="5" xfId="2" applyNumberFormat="1" applyFont="1" applyFill="1" applyBorder="1" applyAlignment="1">
      <alignment horizontal="center" vertical="center" wrapText="1"/>
    </xf>
    <xf numFmtId="49" fontId="23" fillId="0" borderId="5" xfId="2" applyNumberFormat="1" applyFont="1" applyBorder="1" applyAlignment="1">
      <alignment horizontal="center" vertical="center" wrapText="1"/>
    </xf>
    <xf numFmtId="164" fontId="23" fillId="7" borderId="5" xfId="2" applyNumberFormat="1" applyFont="1" applyFill="1" applyBorder="1" applyAlignment="1">
      <alignment horizontal="center" vertical="center"/>
    </xf>
    <xf numFmtId="164" fontId="23" fillId="11" borderId="5" xfId="2" applyNumberFormat="1" applyFont="1" applyFill="1" applyBorder="1" applyAlignment="1">
      <alignment horizontal="center" vertical="center"/>
    </xf>
    <xf numFmtId="165" fontId="30" fillId="11" borderId="5" xfId="2" applyNumberFormat="1" applyFont="1" applyFill="1" applyBorder="1" applyAlignment="1">
      <alignment horizontal="center" vertical="center"/>
    </xf>
    <xf numFmtId="165" fontId="23" fillId="11" borderId="5" xfId="2" applyNumberFormat="1" applyFont="1" applyFill="1" applyBorder="1" applyAlignment="1">
      <alignment horizontal="center" vertical="center"/>
    </xf>
    <xf numFmtId="0" fontId="30" fillId="12" borderId="5" xfId="2" applyFont="1" applyFill="1" applyBorder="1" applyAlignment="1">
      <alignment horizontal="center" vertical="center"/>
    </xf>
    <xf numFmtId="165" fontId="22" fillId="10" borderId="5" xfId="2" applyNumberFormat="1" applyFont="1" applyFill="1" applyBorder="1" applyAlignment="1">
      <alignment horizontal="center" vertical="center"/>
    </xf>
    <xf numFmtId="165" fontId="22" fillId="6" borderId="5" xfId="2" applyNumberFormat="1" applyFont="1" applyFill="1" applyBorder="1" applyAlignment="1">
      <alignment horizontal="center" vertical="center"/>
    </xf>
    <xf numFmtId="165" fontId="23" fillId="13" borderId="5" xfId="2" applyNumberFormat="1" applyFont="1" applyFill="1" applyBorder="1" applyAlignment="1">
      <alignment horizontal="center" vertical="center" wrapText="1"/>
    </xf>
    <xf numFmtId="0" fontId="23" fillId="12" borderId="5" xfId="2" applyFont="1" applyFill="1" applyBorder="1" applyAlignment="1">
      <alignment horizontal="center" vertical="center"/>
    </xf>
    <xf numFmtId="165" fontId="23" fillId="14" borderId="5" xfId="2" applyNumberFormat="1" applyFont="1" applyFill="1" applyBorder="1" applyAlignment="1">
      <alignment horizontal="center" vertical="center"/>
    </xf>
    <xf numFmtId="165" fontId="31" fillId="15" borderId="5" xfId="0" applyNumberFormat="1" applyFont="1" applyFill="1" applyBorder="1" applyAlignment="1">
      <alignment horizontal="center" vertical="center"/>
    </xf>
    <xf numFmtId="165" fontId="32" fillId="9" borderId="5" xfId="2" applyNumberFormat="1" applyFont="1" applyFill="1" applyBorder="1" applyAlignment="1">
      <alignment horizontal="center" vertical="center"/>
    </xf>
    <xf numFmtId="164" fontId="23" fillId="14" borderId="5" xfId="6" applyNumberFormat="1" applyFont="1" applyFill="1" applyBorder="1" applyAlignment="1">
      <alignment horizontal="center" vertical="center"/>
    </xf>
    <xf numFmtId="164" fontId="30" fillId="14" borderId="5" xfId="2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4" fillId="0" borderId="5" xfId="0" applyFont="1" applyBorder="1"/>
    <xf numFmtId="0" fontId="6" fillId="0" borderId="1" xfId="0" applyFont="1" applyBorder="1" applyAlignment="1">
      <alignment horizontal="left" vertical="center" wrapText="1"/>
    </xf>
    <xf numFmtId="0" fontId="24" fillId="0" borderId="1" xfId="0" applyFont="1" applyBorder="1"/>
    <xf numFmtId="0" fontId="16" fillId="6" borderId="5" xfId="2" applyFont="1" applyFill="1" applyBorder="1" applyAlignment="1">
      <alignment horizontal="center" vertical="center" wrapText="1"/>
    </xf>
    <xf numFmtId="49" fontId="23" fillId="0" borderId="5" xfId="2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8">
    <cellStyle name="Excel Built-in Explanatory Text" xfId="15" xr:uid="{7821454C-8D32-4C13-9427-D1DA7D85B1F1}"/>
    <cellStyle name="Millares 2 2 10 2" xfId="14" xr:uid="{94DBDFD0-7278-4923-91CB-05EB1523D3D4}"/>
    <cellStyle name="Millares 2 2 3 2 2 2 2 2 2 2 2 2" xfId="8" xr:uid="{7D254513-50EB-481F-9574-38A9BF9FA644}"/>
    <cellStyle name="Millares 2 2 3 2 2 2 2 2 3" xfId="4" xr:uid="{A4B86688-0C9D-4A25-B9B2-E768A2767BBF}"/>
    <cellStyle name="Normal" xfId="0" builtinId="0"/>
    <cellStyle name="Normal 16" xfId="13" xr:uid="{76E37788-18B6-4708-8EED-6F3814390BEB}"/>
    <cellStyle name="Normal 2 2" xfId="2" xr:uid="{CB6713C8-428A-4CC4-B4C9-742F878B6E77}"/>
    <cellStyle name="Normal 2 3 2 2 4" xfId="10" xr:uid="{19BAD29F-2D26-4565-87A9-387EF628F1CF}"/>
    <cellStyle name="Normal 2 3 2 3" xfId="5" xr:uid="{630CA8C4-2EAD-48F6-9E2E-763C3E57CA7C}"/>
    <cellStyle name="Normal 3 2 2 2 2 2 2" xfId="16" xr:uid="{9690D28E-A1B8-4C29-9D1D-2B99086B340A}"/>
    <cellStyle name="Normal 3 3 2 2 3" xfId="12" xr:uid="{6A56406E-D4EA-4167-9785-789022FB4CB3}"/>
    <cellStyle name="Normal 3 3 2 5" xfId="17" xr:uid="{3C7B0F69-B702-4A7D-BF14-B775DCD94069}"/>
    <cellStyle name="Normal 3 3 2 5 4" xfId="3" xr:uid="{C7A29982-36DB-403D-93DC-0FDFC5105359}"/>
    <cellStyle name="Normal 3 4 2" xfId="6" xr:uid="{3F24E940-7909-4BF3-853E-6D2AFE722F46}"/>
    <cellStyle name="Normal 3 4 2 4" xfId="9" xr:uid="{020A8BE5-CE17-416F-A81B-FB4CA0EB30A9}"/>
    <cellStyle name="Normal 3 4 2 6" xfId="11" xr:uid="{A7DA4DC3-1BCE-4C29-9FB5-C7990C2308BB}"/>
    <cellStyle name="Normal 3 4 3" xfId="7" xr:uid="{5C543779-E48C-44FE-BB4D-290A589544F2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933451</xdr:colOff>
      <xdr:row>3</xdr:row>
      <xdr:rowOff>266700</xdr:rowOff>
    </xdr:from>
    <xdr:ext cx="2213972" cy="4254499"/>
    <xdr:pic>
      <xdr:nvPicPr>
        <xdr:cNvPr id="3" name="Imagen 2">
          <a:extLst>
            <a:ext uri="{FF2B5EF4-FFF2-40B4-BE49-F238E27FC236}">
              <a16:creationId xmlns:a16="http://schemas.microsoft.com/office/drawing/2014/main" id="{30647D5B-B548-429B-964F-BE0FCFF87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84651" y="1638300"/>
          <a:ext cx="2213972" cy="42544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4B5EE-39DA-47AC-AF5D-F5399924E85A}">
  <dimension ref="A2:BN148"/>
  <sheetViews>
    <sheetView showGridLines="0" tabSelected="1" zoomScale="50" zoomScaleNormal="50" zoomScaleSheetLayoutView="40" workbookViewId="0">
      <selection activeCell="E19" sqref="E19"/>
    </sheetView>
  </sheetViews>
  <sheetFormatPr baseColWidth="10" defaultColWidth="14.42578125" defaultRowHeight="15" customHeight="1"/>
  <cols>
    <col min="1" max="1" width="2.5703125" style="21" customWidth="1"/>
    <col min="2" max="2" width="7" style="21" customWidth="1"/>
    <col min="3" max="3" width="17.28515625" style="21" customWidth="1"/>
    <col min="4" max="4" width="21.7109375" style="21" customWidth="1"/>
    <col min="5" max="5" width="56.5703125" style="21" customWidth="1"/>
    <col min="6" max="6" width="13.42578125" style="21" customWidth="1"/>
    <col min="7" max="7" width="22.5703125" style="21" customWidth="1"/>
    <col min="8" max="8" width="17.85546875" style="21" customWidth="1"/>
    <col min="9" max="9" width="105.140625" style="21" customWidth="1"/>
    <col min="10" max="10" width="29.85546875" style="21" customWidth="1"/>
    <col min="11" max="11" width="31.28515625" style="22" customWidth="1"/>
    <col min="12" max="12" width="13.5703125" style="21" customWidth="1"/>
    <col min="13" max="13" width="28.28515625" style="27" customWidth="1"/>
    <col min="14" max="14" width="20.7109375" style="21" customWidth="1"/>
    <col min="15" max="15" width="34.5703125" style="21" customWidth="1"/>
    <col min="16" max="16" width="20.42578125" style="21" customWidth="1"/>
    <col min="17" max="17" width="20.85546875" style="21" customWidth="1"/>
    <col min="18" max="18" width="15.28515625" style="21" customWidth="1"/>
    <col min="19" max="19" width="27.28515625" style="21" customWidth="1"/>
    <col min="20" max="20" width="28" style="21" customWidth="1"/>
    <col min="21" max="21" width="18.5703125" style="21" customWidth="1"/>
    <col min="22" max="22" width="17.42578125" style="21" customWidth="1"/>
    <col min="23" max="23" width="23" style="21" customWidth="1"/>
    <col min="24" max="24" width="24.140625" style="21" customWidth="1"/>
    <col min="25" max="25" width="29" style="21" customWidth="1"/>
    <col min="26" max="26" width="33.7109375" style="21" customWidth="1"/>
    <col min="27" max="27" width="21.140625" style="21" customWidth="1"/>
    <col min="28" max="29" width="11.7109375" style="21" customWidth="1"/>
    <col min="30" max="30" width="18.7109375" style="21" customWidth="1"/>
    <col min="31" max="31" width="19.5703125" style="21" customWidth="1"/>
    <col min="32" max="32" width="25.42578125" style="21" customWidth="1"/>
    <col min="33" max="33" width="27" style="21" customWidth="1"/>
    <col min="34" max="34" width="23.28515625" style="21" customWidth="1"/>
    <col min="35" max="35" width="20.85546875" style="21" customWidth="1"/>
    <col min="36" max="36" width="21.28515625" style="21" customWidth="1"/>
    <col min="37" max="37" width="22.42578125" style="21" customWidth="1"/>
    <col min="38" max="56" width="11.42578125" style="21" customWidth="1"/>
    <col min="57" max="16384" width="14.42578125" style="21"/>
  </cols>
  <sheetData>
    <row r="2" spans="1:66" ht="24" thickBot="1">
      <c r="A2" s="20"/>
      <c r="B2" s="51" t="s">
        <v>40</v>
      </c>
      <c r="C2" s="52"/>
      <c r="D2" s="52"/>
      <c r="E2" s="52"/>
      <c r="F2" s="52"/>
      <c r="G2" s="52"/>
      <c r="H2" s="52"/>
      <c r="I2" s="52"/>
      <c r="J2" s="52"/>
      <c r="K2" s="11"/>
      <c r="L2" s="20"/>
      <c r="M2" s="53" t="s">
        <v>0</v>
      </c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20"/>
      <c r="AE2" s="20"/>
      <c r="AF2" s="20"/>
      <c r="AG2" s="20"/>
      <c r="AH2" s="20"/>
      <c r="AI2" s="20"/>
      <c r="AJ2" s="1"/>
      <c r="AK2" s="1"/>
      <c r="AL2" s="1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</row>
    <row r="3" spans="1:66" ht="69" customHeight="1">
      <c r="A3" s="20"/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39</v>
      </c>
      <c r="H3" s="10" t="s">
        <v>6</v>
      </c>
      <c r="I3" s="10" t="s">
        <v>7</v>
      </c>
      <c r="J3" s="10" t="s">
        <v>38</v>
      </c>
      <c r="K3" s="57" t="s">
        <v>41</v>
      </c>
      <c r="M3" s="2" t="s">
        <v>8</v>
      </c>
      <c r="N3" s="3" t="s">
        <v>9</v>
      </c>
      <c r="O3" s="3" t="s">
        <v>10</v>
      </c>
      <c r="P3" s="4" t="s">
        <v>11</v>
      </c>
      <c r="Q3" s="5" t="s">
        <v>12</v>
      </c>
      <c r="R3" s="6" t="s">
        <v>13</v>
      </c>
      <c r="S3" s="6" t="s">
        <v>14</v>
      </c>
      <c r="T3" s="6" t="s">
        <v>15</v>
      </c>
      <c r="U3" s="6" t="s">
        <v>16</v>
      </c>
      <c r="V3" s="6" t="s">
        <v>17</v>
      </c>
      <c r="W3" s="7" t="s">
        <v>18</v>
      </c>
      <c r="X3" s="2" t="s">
        <v>19</v>
      </c>
      <c r="Y3" s="4" t="s">
        <v>20</v>
      </c>
      <c r="Z3" s="8" t="s">
        <v>21</v>
      </c>
      <c r="AA3" s="14" t="s">
        <v>22</v>
      </c>
      <c r="AB3" s="14" t="s">
        <v>23</v>
      </c>
      <c r="AC3" s="14" t="s">
        <v>24</v>
      </c>
      <c r="AD3" s="14" t="s">
        <v>25</v>
      </c>
      <c r="AE3" s="15" t="s">
        <v>26</v>
      </c>
      <c r="AF3" s="16" t="s">
        <v>27</v>
      </c>
      <c r="AG3" s="16" t="s">
        <v>28</v>
      </c>
      <c r="AH3" s="17" t="s">
        <v>16</v>
      </c>
      <c r="AI3" s="18" t="s">
        <v>29</v>
      </c>
      <c r="AJ3" s="18" t="s">
        <v>30</v>
      </c>
      <c r="AK3" s="19" t="s">
        <v>31</v>
      </c>
      <c r="AL3" s="1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</row>
    <row r="4" spans="1:66" s="9" customFormat="1" ht="409.5" customHeight="1">
      <c r="A4" s="12"/>
      <c r="B4" s="29">
        <v>1</v>
      </c>
      <c r="C4" s="55" t="s">
        <v>34</v>
      </c>
      <c r="D4" s="55"/>
      <c r="E4" s="30" t="s">
        <v>32</v>
      </c>
      <c r="F4" s="31">
        <v>200</v>
      </c>
      <c r="G4" s="32" t="s">
        <v>43</v>
      </c>
      <c r="H4" s="33" t="s">
        <v>33</v>
      </c>
      <c r="I4" s="34" t="s">
        <v>42</v>
      </c>
      <c r="J4" s="32" t="e">
        <f t="shared" ref="J4" si="0">+F4*G4</f>
        <v>#VALUE!</v>
      </c>
      <c r="L4" s="13" t="e">
        <f>T4/J4</f>
        <v>#VALUE!</v>
      </c>
      <c r="M4" s="35" t="s">
        <v>35</v>
      </c>
      <c r="N4" s="56" t="s">
        <v>36</v>
      </c>
      <c r="O4" s="56"/>
      <c r="P4" s="36"/>
      <c r="Q4" s="37">
        <f>0.02+0.21+0.22+0.5</f>
        <v>0.95</v>
      </c>
      <c r="R4" s="23">
        <v>274</v>
      </c>
      <c r="S4" s="38">
        <f t="shared" ref="S4" si="1">Q4*R4/100</f>
        <v>2.6030000000000002</v>
      </c>
      <c r="T4" s="39">
        <f t="shared" ref="T4" si="2">S4*V4</f>
        <v>520.6</v>
      </c>
      <c r="U4" s="40">
        <f t="shared" ref="U4" si="3">Q4+S4</f>
        <v>3.5529999999999999</v>
      </c>
      <c r="V4" s="41">
        <f>F4</f>
        <v>200</v>
      </c>
      <c r="W4" s="42">
        <f>Q4*10</f>
        <v>9.5</v>
      </c>
      <c r="X4" s="43">
        <v>120</v>
      </c>
      <c r="Y4" s="24">
        <f t="shared" ref="Y4" si="4">V4*U4+W4+X4</f>
        <v>840.1</v>
      </c>
      <c r="Z4" s="28" t="s">
        <v>37</v>
      </c>
      <c r="AA4" s="44">
        <v>100</v>
      </c>
      <c r="AB4" s="45">
        <v>1</v>
      </c>
      <c r="AC4" s="45">
        <v>1</v>
      </c>
      <c r="AD4" s="45">
        <v>1</v>
      </c>
      <c r="AE4" s="46">
        <f>AA4*AB4*AC4*AD4</f>
        <v>100</v>
      </c>
      <c r="AF4" s="25">
        <f>5.5*2</f>
        <v>11</v>
      </c>
      <c r="AG4" s="47">
        <f t="shared" ref="AG4" si="5">1%*(Y4+AE4+AF4)</f>
        <v>9.511000000000001</v>
      </c>
      <c r="AH4" s="26">
        <f t="shared" ref="AH4" si="6">Y4+AE4+AG4+AF4</f>
        <v>960.61099999999999</v>
      </c>
      <c r="AI4" s="48">
        <f t="shared" ref="AI4" si="7">AH4/V4</f>
        <v>4.8030549999999996</v>
      </c>
      <c r="AJ4" s="49">
        <f t="shared" ref="AJ4" si="8">AI4*18%</f>
        <v>0.86454989999999987</v>
      </c>
      <c r="AK4" s="50">
        <f t="shared" ref="AK4" si="9">AI4+AJ4</f>
        <v>5.6676048999999997</v>
      </c>
    </row>
    <row r="6" spans="1:66" ht="15.75" customHeight="1"/>
    <row r="7" spans="1:66" ht="15.75" customHeight="1"/>
    <row r="8" spans="1:66" ht="15.75" customHeight="1"/>
    <row r="9" spans="1:66" ht="15.75" customHeight="1"/>
    <row r="10" spans="1:66" ht="15.75" customHeight="1"/>
    <row r="11" spans="1:66" ht="15.75" customHeight="1"/>
    <row r="12" spans="1:66" ht="15.75" customHeight="1"/>
    <row r="13" spans="1:66" ht="15.75" customHeight="1"/>
    <row r="14" spans="1:66" ht="15.75" customHeight="1"/>
    <row r="15" spans="1:66" ht="15.75" customHeight="1"/>
    <row r="16" spans="1:6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</sheetData>
  <mergeCells count="4">
    <mergeCell ref="B2:J2"/>
    <mergeCell ref="M2:AC2"/>
    <mergeCell ref="C4:D4"/>
    <mergeCell ref="N4:O4"/>
  </mergeCell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MARZO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Lady Diana Orellana Estrada</dc:creator>
  <cp:keywords/>
  <dc:description/>
  <cp:lastModifiedBy>Lady Diana Orellana Estrada</cp:lastModifiedBy>
  <cp:revision/>
  <dcterms:created xsi:type="dcterms:W3CDTF">2026-01-05T23:37:31Z</dcterms:created>
  <dcterms:modified xsi:type="dcterms:W3CDTF">2026-05-13T00:13:31Z</dcterms:modified>
  <cp:category/>
  <cp:contentStatus/>
</cp:coreProperties>
</file>