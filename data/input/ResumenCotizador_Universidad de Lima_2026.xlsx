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UNIVERSIDAD DE LIMA/BD Cotizaciones/"/>
    </mc:Choice>
  </mc:AlternateContent>
  <xr:revisionPtr revIDLastSave="16" documentId="8_{AEC25BC0-4386-4830-870E-12FAA99FEC52}" xr6:coauthVersionLast="47" xr6:coauthVersionMax="47" xr10:uidLastSave="{24A47B0B-10E0-4261-91DC-6DF60B673BAD}"/>
  <bookViews>
    <workbookView xWindow="-120" yWindow="-120" windowWidth="29040" windowHeight="15720" activeTab="1" xr2:uid="{96AE988C-DEB9-4BD9-AD1F-6D1F97507B8B}"/>
  </bookViews>
  <sheets>
    <sheet name="ENERO" sheetId="1" r:id="rId1"/>
    <sheet name="JUNIO " sheetId="2" r:id="rId2"/>
  </sheets>
  <externalReferences>
    <externalReference r:id="rId3"/>
    <externalReference r:id="rId4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2" l="1"/>
  <c r="Q4" i="2"/>
  <c r="AF4" i="2" l="1"/>
  <c r="S4" i="2"/>
  <c r="T4" i="2" s="1"/>
  <c r="AE4" i="2"/>
  <c r="X4" i="2"/>
  <c r="V4" i="2"/>
  <c r="Q9" i="2"/>
  <c r="W9" i="2" s="1"/>
  <c r="X9" i="2"/>
  <c r="AE9" i="2"/>
  <c r="V9" i="2"/>
  <c r="AF9" i="2" s="1"/>
  <c r="AG5" i="1"/>
  <c r="W4" i="1"/>
  <c r="X6" i="1"/>
  <c r="AE5" i="1"/>
  <c r="W5" i="1"/>
  <c r="V5" i="1"/>
  <c r="S5" i="1"/>
  <c r="U5" i="1" s="1"/>
  <c r="Y5" i="1" s="1"/>
  <c r="J5" i="1"/>
  <c r="AE4" i="1"/>
  <c r="V4" i="1"/>
  <c r="S4" i="1"/>
  <c r="J4" i="1"/>
  <c r="U4" i="2" l="1"/>
  <c r="S9" i="2"/>
  <c r="T9" i="2" s="1"/>
  <c r="U9" i="2"/>
  <c r="Y9" i="2" s="1"/>
  <c r="J6" i="1"/>
  <c r="T4" i="1"/>
  <c r="AF4" i="1" s="1"/>
  <c r="T5" i="1"/>
  <c r="AF5" i="1" s="1"/>
  <c r="U4" i="1"/>
  <c r="Y4" i="1" s="1"/>
  <c r="AG4" i="1" s="1"/>
  <c r="Y4" i="2" l="1"/>
  <c r="AG4" i="2" s="1"/>
  <c r="AH4" i="2" s="1"/>
  <c r="AI4" i="2" s="1"/>
  <c r="J4" i="2" s="1"/>
  <c r="K4" i="2" s="1"/>
  <c r="AG9" i="2"/>
  <c r="AH9" i="2" s="1"/>
  <c r="AI9" i="2" s="1"/>
  <c r="AH5" i="1"/>
  <c r="AI5" i="1" s="1"/>
  <c r="T6" i="1"/>
  <c r="K6" i="1" s="1"/>
  <c r="AF6" i="1"/>
  <c r="AJ4" i="2" l="1"/>
  <c r="AK4" i="2" s="1"/>
  <c r="J9" i="2"/>
  <c r="K9" i="2" s="1"/>
  <c r="AJ9" i="2"/>
  <c r="AK9" i="2" s="1"/>
  <c r="AG6" i="1"/>
  <c r="AJ5" i="1"/>
  <c r="AK5" i="1" s="1"/>
  <c r="AH4" i="1"/>
  <c r="AI4" i="1" s="1"/>
  <c r="AJ4" i="1" l="1"/>
  <c r="AK4" i="1" s="1"/>
</calcChain>
</file>

<file path=xl/sharedStrings.xml><?xml version="1.0" encoding="utf-8"?>
<sst xmlns="http://schemas.openxmlformats.org/spreadsheetml/2006/main" count="158" uniqueCount="65">
  <si>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</si>
  <si>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</si>
  <si>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</si>
  <si>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</si>
  <si>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</si>
  <si>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</si>
  <si>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</si>
  <si>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</si>
  <si>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</si>
  <si>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</si>
  <si>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</si>
  <si>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</si>
  <si>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</si>
  <si>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</si>
  <si>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</si>
  <si>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</si>
  <si>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</si>
  <si>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</si>
  <si>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</si>
  <si>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</si>
  <si>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</si>
  <si>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</si>
  <si>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</si>
  <si>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</si>
  <si>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</si>
  <si>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</si>
  <si>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</si>
  <si>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</si>
  <si>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</si>
  <si>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</si>
  <si>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</si>
  <si>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</si>
  <si>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</si>
  <si>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</si>
  <si>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</si>
  <si>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</si>
  <si>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</si>
  <si>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</si>
  <si>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</si>
  <si>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</si>
  <si>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</si>
  <si>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BOLSA NOTEX GRANDE</t>
  </si>
  <si>
    <t>DANTE TEXTIL</t>
  </si>
  <si>
    <t>Bolsa chica notex 
Precio  1.50
Precio + igv</t>
  </si>
  <si>
    <t>BOLSA NOTEX PEQUEÑA</t>
  </si>
  <si>
    <t xml:space="preserve">Precio por millar
Bolsa grande notex
Precio 1.90 </t>
  </si>
  <si>
    <t>SUBTOTAL SIN IGV</t>
  </si>
  <si>
    <t>2.1.</t>
  </si>
  <si>
    <r>
      <rPr>
        <b/>
        <u/>
        <sz val="18"/>
        <rFont val="Arial"/>
        <family val="2"/>
      </rPr>
      <t xml:space="preserve">BOLSA NOTEX PEQUEÑA
</t>
    </r>
    <r>
      <rPr>
        <sz val="18"/>
        <rFont val="Arial"/>
        <family val="2"/>
      </rPr>
      <t>Notex de 80 grs
Medidas: 30 de alto x 29 de ancho 
Asa 48 cm,
fuelle de 6 cm
Fuelle y cuerpo termosellado.  
Color: Naranja.
Presentación: Caja grupal, no bolsa individual</t>
    </r>
    <r>
      <rPr>
        <b/>
        <sz val="18"/>
        <color rgb="FFFF0000"/>
        <rFont val="Arial"/>
        <family val="2"/>
      </rPr>
      <t xml:space="preserve">
*Incluye 2 logos a 1 color, en ambos lados.
*Diseño o arte facilitado por el cliente.</t>
    </r>
  </si>
  <si>
    <r>
      <rPr>
        <b/>
        <u/>
        <sz val="18"/>
        <rFont val="Arial"/>
        <family val="2"/>
      </rPr>
      <t xml:space="preserve">BOLSA NOTEX GRANDE
</t>
    </r>
    <r>
      <rPr>
        <sz val="18"/>
        <rFont val="Arial"/>
        <family val="2"/>
      </rPr>
      <t>Notex de 80 grs
Medidas: 38 de alto x 32 de ancho 
Asa 60 cm,
fuelle de 6 cm
Fuelle y cuerpo termosellado.  
Color: Naranja.
Presentación: Caja grupal, no bolsa individual</t>
    </r>
    <r>
      <rPr>
        <b/>
        <sz val="18"/>
        <color rgb="FFFF0000"/>
        <rFont val="Arial"/>
        <family val="2"/>
      </rPr>
      <t xml:space="preserve">
*Incluye 2 logos a 1 color, en ambos lados.
*Diseño o arte facilitado por el cliente.</t>
    </r>
  </si>
  <si>
    <t>27 a 30 Días útiles</t>
  </si>
  <si>
    <t>COTIZACIÓN PROPUESTA_UNIVERSIDAD DE LIMA_16.04.26</t>
  </si>
  <si>
    <t>IMPORTACIONES FACUNDO</t>
  </si>
  <si>
    <t>COTIZACIÓN PROPUESTA_UNIVERSIDAD DE LIMA_01.06.26</t>
  </si>
  <si>
    <t>Imagen Referencial</t>
  </si>
  <si>
    <t>COIF-FB-1300</t>
  </si>
  <si>
    <t>FB-1300</t>
  </si>
  <si>
    <t>RESALTADOR ESTRELLA</t>
  </si>
  <si>
    <t>Precio
S/.2.80 Incluido IGV
Precio
S/.3.50 INCL IGV</t>
  </si>
  <si>
    <t>IMPRESIÓN WILFREDO</t>
  </si>
  <si>
    <t>9 a 11 Días útiles</t>
  </si>
  <si>
    <r>
      <rPr>
        <b/>
        <u/>
        <sz val="18"/>
        <rFont val="Arial"/>
        <family val="2"/>
      </rPr>
      <t xml:space="preserve">RESALTADOR ESTRELLA
</t>
    </r>
    <r>
      <rPr>
        <sz val="18"/>
        <rFont val="Arial"/>
        <family val="2"/>
      </rPr>
      <t>Descripción: Resaltador en forma de estrella con 5 puntas. Colores Anaranjado, Verde, Amarillo, Turqueza y Rosado.
Medida: Alt: 10 cm Ancho: 10 cm
Modelo estandar y Ecologico (2mil)
Presentación: Bolsita individual</t>
    </r>
    <r>
      <rPr>
        <b/>
        <sz val="18"/>
        <color rgb="FFFF0000"/>
        <rFont val="Arial"/>
        <family val="2"/>
      </rPr>
      <t xml:space="preserve">
*Incluye 1 logo a 1 color por 1 lado
*Diseño o arte facilitado por el cliente.</t>
    </r>
  </si>
  <si>
    <t>COTIZACIÓN PROPUESTA_UNIVERSIDAD DE LIMA_03.06.26</t>
  </si>
  <si>
    <t>Precio
S/.2.80 Incluido IGV
Precio especial
S//2.55</t>
  </si>
  <si>
    <r>
      <rPr>
        <b/>
        <u/>
        <sz val="18"/>
        <rFont val="Arial"/>
        <family val="2"/>
      </rPr>
      <t xml:space="preserve">RESALTADOR ESTRELLA
</t>
    </r>
    <r>
      <rPr>
        <sz val="18"/>
        <rFont val="Arial"/>
        <family val="2"/>
      </rPr>
      <t>Descripción: Resaltador en forma de estrella con 5 puntas. Colores Anaranjado, Verde, Amarillo, Turqueza y Rosado.
Medida: Alt: 10 cm Ancho: 10 cm
Color: Blanco
Presentación: Caja grupal</t>
    </r>
    <r>
      <rPr>
        <b/>
        <sz val="18"/>
        <color rgb="FFFF0000"/>
        <rFont val="Arial"/>
        <family val="2"/>
      </rPr>
      <t xml:space="preserve">
*Incluye 1 logo a 2 colores por 1 lado
*Diseño o arte facilitado por 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</si>
</sst>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&quot;\ #,##0.00;[Red]\-&quot;S/&quot;\ #,##0.00"/>
    <numFmt numFmtId="165" formatCode="&quot;S/.&quot;\ #,##0.00"/>
    <numFmt numFmtId="166" formatCode="&quot;S/. &quot;#,##0.00"/>
    <numFmt numFmtId="167" formatCode="[$S/.-280A]\ #,##0.00"/>
    <numFmt numFmtId="168" formatCode="_ &quot;S/&quot;\ * #,##0.00_ ;_ &quot;S/&quot;\ * \-#,##0.00_ ;_ &quot;S/&quot;\ * &quot;-&quot;??_ ;_ @_ "/>
    <numFmt numFmtId="169" formatCode="_-[$$-409]* #,##0.00_ ;_-[$$-409]* \-#,##0.00\ ;_-[$$-409]* &quot;-&quot;??_ ;_-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4"/>
      <color indexed="8"/>
      <name val="Arial"/>
      <family val="2"/>
    </font>
    <font>
      <sz val="14"/>
      <color indexed="8"/>
      <name val="Calibri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b/>
      <sz val="14"/>
      <color indexed="8"/>
      <name val="Calibri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20"/>
      <name val="Arial"/>
      <family val="2"/>
    </font>
    <font>
      <sz val="18"/>
      <color indexed="8"/>
      <name val="Arial"/>
      <family val="2"/>
    </font>
    <font>
      <b/>
      <sz val="18"/>
      <name val="Arial"/>
      <family val="2"/>
    </font>
    <font>
      <b/>
      <u/>
      <sz val="18"/>
      <name val="Arial"/>
      <family val="2"/>
    </font>
    <font>
      <sz val="18"/>
      <name val="Arial"/>
      <family val="2"/>
    </font>
    <font>
      <b/>
      <sz val="18"/>
      <color rgb="FFFF0000"/>
      <name val="Arial"/>
      <family val="2"/>
    </font>
    <font>
      <b/>
      <sz val="18"/>
      <color indexed="8"/>
      <name val="Arial"/>
      <family val="2"/>
    </font>
    <font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rgb="FFFF000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rgb="FF000000"/>
      <name val="Arial"/>
      <family val="2"/>
    </font>
    <font>
      <sz val="16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indexed="50"/>
        <bgColor indexed="5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4" fillId="2" borderId="0" xfId="2" applyFont="1" applyFill="1"/>
    <xf numFmtId="49" fontId="2" fillId="2" borderId="0" xfId="1" applyNumberFormat="1" applyFill="1" applyAlignment="1">
      <alignment vertical="center" wrapText="1"/>
    </xf>
    <xf numFmtId="0" fontId="4" fillId="2" borderId="0" xfId="2" applyFont="1" applyFill="1" applyAlignment="1">
      <alignment vertical="center"/>
    </xf>
    <xf numFmtId="0" fontId="4" fillId="2" borderId="0" xfId="2" applyFont="1" applyFill="1" applyAlignment="1">
      <alignment wrapText="1"/>
    </xf>
    <xf numFmtId="0" fontId="5" fillId="0" borderId="0" xfId="3"/>
    <xf numFmtId="0" fontId="6" fillId="3" borderId="4" xfId="2" applyFont="1" applyFill="1" applyBorder="1" applyAlignment="1">
      <alignment horizontal="center" vertical="center" wrapText="1"/>
    </xf>
    <xf numFmtId="0" fontId="6" fillId="3" borderId="4" xfId="4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6" xfId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 vertical="center" wrapText="1"/>
    </xf>
    <xf numFmtId="9" fontId="8" fillId="6" borderId="7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7" borderId="9" xfId="3" applyFont="1" applyFill="1" applyBorder="1" applyAlignment="1">
      <alignment horizontal="center" wrapText="1"/>
    </xf>
    <xf numFmtId="0" fontId="10" fillId="7" borderId="9" xfId="3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vertical="center"/>
    </xf>
    <xf numFmtId="0" fontId="0" fillId="0" borderId="4" xfId="0" applyBorder="1"/>
    <xf numFmtId="3" fontId="13" fillId="0" borderId="4" xfId="1" applyNumberFormat="1" applyFont="1" applyBorder="1" applyAlignment="1">
      <alignment horizontal="center" vertical="center" wrapText="1"/>
    </xf>
    <xf numFmtId="165" fontId="13" fillId="0" borderId="4" xfId="1" applyNumberFormat="1" applyFont="1" applyBorder="1" applyAlignment="1">
      <alignment horizontal="center" vertical="center" wrapText="1"/>
    </xf>
    <xf numFmtId="0" fontId="15" fillId="0" borderId="4" xfId="5" applyFont="1" applyBorder="1" applyAlignment="1">
      <alignment horizontal="left" vertical="center" wrapText="1"/>
    </xf>
    <xf numFmtId="166" fontId="19" fillId="0" borderId="4" xfId="1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/>
    <xf numFmtId="165" fontId="21" fillId="14" borderId="4" xfId="1" applyNumberFormat="1" applyFont="1" applyFill="1" applyBorder="1" applyAlignment="1">
      <alignment horizontal="center" vertical="center" wrapText="1"/>
    </xf>
    <xf numFmtId="0" fontId="5" fillId="0" borderId="0" xfId="3" applyAlignment="1">
      <alignment wrapText="1"/>
    </xf>
    <xf numFmtId="0" fontId="11" fillId="0" borderId="4" xfId="0" applyFont="1" applyBorder="1" applyAlignment="1">
      <alignment horizontal="center" vertical="center" wrapText="1"/>
    </xf>
    <xf numFmtId="167" fontId="11" fillId="9" borderId="4" xfId="1" applyNumberFormat="1" applyFont="1" applyFill="1" applyBorder="1" applyAlignment="1">
      <alignment horizontal="center" vertical="center" wrapText="1"/>
    </xf>
    <xf numFmtId="0" fontId="22" fillId="9" borderId="4" xfId="1" applyFont="1" applyFill="1" applyBorder="1" applyAlignment="1">
      <alignment horizontal="center" vertical="center" wrapText="1"/>
    </xf>
    <xf numFmtId="167" fontId="11" fillId="10" borderId="4" xfId="1" applyNumberFormat="1" applyFont="1" applyFill="1" applyBorder="1" applyAlignment="1">
      <alignment horizontal="center" vertical="center" wrapText="1"/>
    </xf>
    <xf numFmtId="165" fontId="23" fillId="10" borderId="4" xfId="1" applyNumberFormat="1" applyFont="1" applyFill="1" applyBorder="1" applyAlignment="1">
      <alignment horizontal="center" vertical="center" wrapText="1"/>
    </xf>
    <xf numFmtId="165" fontId="24" fillId="10" borderId="4" xfId="1" applyNumberFormat="1" applyFont="1" applyFill="1" applyBorder="1" applyAlignment="1">
      <alignment horizontal="center" vertical="center" wrapText="1"/>
    </xf>
    <xf numFmtId="3" fontId="22" fillId="9" borderId="4" xfId="1" applyNumberFormat="1" applyFont="1" applyFill="1" applyBorder="1" applyAlignment="1">
      <alignment horizontal="center" vertical="center" wrapText="1"/>
    </xf>
    <xf numFmtId="165" fontId="11" fillId="10" borderId="4" xfId="1" applyNumberFormat="1" applyFont="1" applyFill="1" applyBorder="1" applyAlignment="1">
      <alignment horizontal="center" vertical="center" wrapText="1"/>
    </xf>
    <xf numFmtId="165" fontId="11" fillId="9" borderId="4" xfId="1" applyNumberFormat="1" applyFont="1" applyFill="1" applyBorder="1" applyAlignment="1">
      <alignment horizontal="center" vertical="center" wrapText="1"/>
    </xf>
    <xf numFmtId="165" fontId="25" fillId="8" borderId="4" xfId="1" applyNumberFormat="1" applyFont="1" applyFill="1" applyBorder="1" applyAlignment="1">
      <alignment horizontal="center" vertical="center" wrapText="1"/>
    </xf>
    <xf numFmtId="165" fontId="26" fillId="8" borderId="4" xfId="1" applyNumberFormat="1" applyFont="1" applyFill="1" applyBorder="1" applyAlignment="1">
      <alignment horizontal="center" vertical="center" wrapText="1"/>
    </xf>
    <xf numFmtId="168" fontId="11" fillId="11" borderId="4" xfId="6" applyFont="1" applyFill="1" applyBorder="1" applyAlignment="1">
      <alignment vertical="center" wrapText="1"/>
    </xf>
    <xf numFmtId="0" fontId="11" fillId="9" borderId="4" xfId="1" applyFont="1" applyFill="1" applyBorder="1" applyAlignment="1">
      <alignment horizontal="center" vertical="center" wrapText="1"/>
    </xf>
    <xf numFmtId="165" fontId="27" fillId="8" borderId="4" xfId="1" applyNumberFormat="1" applyFont="1" applyFill="1" applyBorder="1" applyAlignment="1">
      <alignment horizontal="center" vertical="center" wrapText="1"/>
    </xf>
    <xf numFmtId="165" fontId="28" fillId="12" borderId="4" xfId="1" applyNumberFormat="1" applyFont="1" applyFill="1" applyBorder="1" applyAlignment="1">
      <alignment horizontal="center" vertical="center"/>
    </xf>
    <xf numFmtId="165" fontId="26" fillId="13" borderId="4" xfId="1" applyNumberFormat="1" applyFont="1" applyFill="1" applyBorder="1" applyAlignment="1">
      <alignment horizontal="center" vertical="center"/>
    </xf>
    <xf numFmtId="165" fontId="11" fillId="0" borderId="4" xfId="1" applyNumberFormat="1" applyFont="1" applyBorder="1" applyAlignment="1">
      <alignment horizontal="center" vertical="center" wrapText="1"/>
    </xf>
    <xf numFmtId="167" fontId="11" fillId="8" borderId="4" xfId="5" applyNumberFormat="1" applyFont="1" applyFill="1" applyBorder="1" applyAlignment="1">
      <alignment horizontal="center" vertical="center" wrapText="1"/>
    </xf>
    <xf numFmtId="167" fontId="25" fillId="8" borderId="4" xfId="1" applyNumberFormat="1" applyFont="1" applyFill="1" applyBorder="1" applyAlignment="1">
      <alignment horizontal="center" vertical="center" wrapText="1"/>
    </xf>
    <xf numFmtId="0" fontId="29" fillId="0" borderId="0" xfId="3" applyFont="1"/>
    <xf numFmtId="9" fontId="29" fillId="0" borderId="0" xfId="14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5" fontId="14" fillId="8" borderId="4" xfId="1" applyNumberFormat="1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/>
    </xf>
    <xf numFmtId="164" fontId="11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9" fontId="18" fillId="0" borderId="0" xfId="14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5" fontId="14" fillId="8" borderId="10" xfId="1" applyNumberFormat="1" applyFont="1" applyFill="1" applyBorder="1" applyAlignment="1">
      <alignment horizontal="center" vertical="center" wrapText="1"/>
    </xf>
    <xf numFmtId="15" fontId="14" fillId="8" borderId="11" xfId="1" applyNumberFormat="1" applyFont="1" applyFill="1" applyBorder="1" applyAlignment="1">
      <alignment horizontal="center" vertical="center" wrapText="1"/>
    </xf>
  </cellXfs>
  <cellStyles count="15">
    <cellStyle name="Hyperlink" xfId="13" xr:uid="{00000000-000B-0000-0000-000008000000}"/>
    <cellStyle name="Millares 2 2 3 2 2" xfId="8" xr:uid="{D839FCCD-8765-4C0E-A503-9D4B9FF6E796}"/>
    <cellStyle name="Millares 2 2 3 2 2 2 2 2 3" xfId="9" xr:uid="{3E48E2A5-744E-42EC-95D6-1C801A994B73}"/>
    <cellStyle name="Moneda 6" xfId="6" xr:uid="{58126BB2-9483-4BB2-9E04-5C37E3F783B0}"/>
    <cellStyle name="Normal" xfId="0" builtinId="0"/>
    <cellStyle name="Normal 19" xfId="11" xr:uid="{A9515B3E-07EC-4A06-82A8-F7598068FE73}"/>
    <cellStyle name="Normal 2 2" xfId="1" xr:uid="{99610F1F-F99E-45AC-90A5-C44328172C6E}"/>
    <cellStyle name="Normal 2 2 6 2" xfId="3" xr:uid="{C547E3BA-6A9D-4361-BBD2-D58C20031ACF}"/>
    <cellStyle name="Normal 2 3 2" xfId="10" xr:uid="{3144C33B-2F4E-4D6B-A8A9-824311663928}"/>
    <cellStyle name="Normal 3 3 2" xfId="7" xr:uid="{8A9EE268-D1F4-4BF3-92DD-55DB2015EC77}"/>
    <cellStyle name="Normal 3 4 2" xfId="5" xr:uid="{82ED6840-54A6-4544-A301-667D73E294AD}"/>
    <cellStyle name="Normal 3 4 2 2" xfId="4" xr:uid="{271C7524-D922-4432-91DE-E741FC642B76}"/>
    <cellStyle name="Normal 3 4 2 5" xfId="12" xr:uid="{7B55E1E0-677E-4B55-9605-18800DB2F15D}"/>
    <cellStyle name="Normal 4 2" xfId="2" xr:uid="{C7A4B623-94E7-4480-9718-F362F7382221}"/>
    <cellStyle name="Porcentaje" xfId="1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261939</xdr:colOff>
      <xdr:row>3</xdr:row>
      <xdr:rowOff>690562</xdr:rowOff>
    </xdr:from>
    <xdr:to>
      <xdr:col>4</xdr:col>
      <xdr:colOff>1686413</xdr:colOff>
      <xdr:row>3</xdr:row>
      <xdr:rowOff>2746945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F9E92D-68F0-98BF-CCCC-2EE423540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4689" y="1690687"/>
          <a:ext cx="1424474" cy="2056383"/>
        </a:xfrm>
        <a:prstGeom prst="rect">
          <a:avLst/>
        </a:prstGeom>
      </xdr:spPr>
    </xdr:pic>
    <xdr:clientData/>
  </xdr:twoCellAnchor>
  <xdr:twoCellAnchor editAs="oneCell">
    <xdr:from>
      <xdr:col>4</xdr:col>
      <xdr:colOff>1785939</xdr:colOff>
      <xdr:row>3</xdr:row>
      <xdr:rowOff>690562</xdr:rowOff>
    </xdr:from>
    <xdr:to>
      <xdr:col>4</xdr:col>
      <xdr:colOff>3210413</xdr:colOff>
      <xdr:row>3</xdr:row>
      <xdr:rowOff>2738437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401C39-CF87-5D3E-B223-F23BB2781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8689" y="1690687"/>
          <a:ext cx="1424474" cy="2047875"/>
        </a:xfrm>
        <a:prstGeom prst="rect">
          <a:avLst/>
        </a:prstGeom>
      </xdr:spPr>
    </xdr:pic>
    <xdr:clientData/>
  </xdr:twoCellAnchor>
  <xdr:twoCellAnchor editAs="oneCell">
    <xdr:from>
      <xdr:col>4</xdr:col>
      <xdr:colOff>366714</xdr:colOff>
      <xdr:row>4</xdr:row>
      <xdr:rowOff>723899</xdr:rowOff>
    </xdr:from>
    <xdr:to>
      <xdr:col>4</xdr:col>
      <xdr:colOff>1791188</xdr:colOff>
      <xdr:row>4</xdr:row>
      <xdr:rowOff>2780282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93EE133-3381-4BE4-8A82-A2BDE4067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9464" y="4938712"/>
          <a:ext cx="1424474" cy="2056383"/>
        </a:xfrm>
        <a:prstGeom prst="rect">
          <a:avLst/>
        </a:prstGeom>
      </xdr:spPr>
    </xdr:pic>
    <xdr:clientData/>
  </xdr:twoCellAnchor>
  <xdr:twoCellAnchor editAs="oneCell">
    <xdr:from>
      <xdr:col>4</xdr:col>
      <xdr:colOff>1985964</xdr:colOff>
      <xdr:row>4</xdr:row>
      <xdr:rowOff>803274</xdr:rowOff>
    </xdr:from>
    <xdr:to>
      <xdr:col>4</xdr:col>
      <xdr:colOff>3410438</xdr:colOff>
      <xdr:row>4</xdr:row>
      <xdr:rowOff>2851149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5AD36DB-9B43-4B3C-9686-1CBE8AD3B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0464" y="4994274"/>
          <a:ext cx="1424474" cy="2047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238126</xdr:colOff>
      <xdr:row>8</xdr:row>
      <xdr:rowOff>143910</xdr:rowOff>
    </xdr:from>
    <xdr:to>
      <xdr:col>4</xdr:col>
      <xdr:colOff>1857375</xdr:colOff>
      <xdr:row>8</xdr:row>
      <xdr:rowOff>1605997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A6EE0C-B6AB-6765-572F-C3C3AB2F6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1" y="1128160"/>
          <a:ext cx="1619249" cy="1462087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8</xdr:row>
      <xdr:rowOff>1491325</xdr:rowOff>
    </xdr:from>
    <xdr:to>
      <xdr:col>4</xdr:col>
      <xdr:colOff>3429000</xdr:colOff>
      <xdr:row>8</xdr:row>
      <xdr:rowOff>3419071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DD47E80-1BAA-A1BF-1CC2-3EA29E426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5" y="2475575"/>
          <a:ext cx="1905000" cy="1927746"/>
        </a:xfrm>
        <a:prstGeom prst="rect">
          <a:avLst/>
        </a:prstGeom>
      </xdr:spPr>
    </xdr:pic>
    <xdr:clientData/>
  </xdr:twoCellAnchor>
  <xdr:oneCellAnchor>
    <xdr:from>
      <xdr:col>4</xdr:col>
      <xdr:colOff>635001</xdr:colOff>
      <xdr:row>3</xdr:row>
      <xdr:rowOff>461410</xdr:rowOff>
    </xdr:from>
    <xdr:ext cx="2317749" cy="2092792"/>
    <xdr:pic>
      <xdr:nvPicPr>
        <xdr:cNvPr id="2" name="Imagen 1">
          <a:extLst>
            <a:ext uri="{FF2B5EF4-FFF2-40B4-BE49-F238E27FC236}">
              <a16:creationId xmlns:a16="http://schemas.microsoft.com/office/drawing/2014/main" id="{F9B82DC7-6B27-477C-B11D-4E4C9589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6376" y="1445660"/>
          <a:ext cx="2317749" cy="20927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2361-87E4-4C2A-9688-987B0ED649C5}">
  <dimension ref="B2:AU7"/>
  <sheetViews>
    <sheetView showGridLines="0" topLeftCell="S1" zoomScale="60" zoomScaleNormal="60" workbookViewId="0">
      <selection activeCell="AA4" sqref="AA4"/>
    </sheetView>
  </sheetViews>
  <sheetFormatPr baseColWidth="10" defaultColWidth="11.42578125" defaultRowHeight="15" x14ac:dyDescent="0.25"/>
  <cols>
    <col min="1" max="1" width="3.140625" style="5" customWidth="1"/>
    <col min="2" max="2" width="5.42578125" style="5" customWidth="1"/>
    <col min="3" max="3" width="13.7109375" style="5" customWidth="1"/>
    <col min="4" max="4" width="22.28515625" style="5" customWidth="1"/>
    <col min="5" max="5" width="54.42578125" style="5" customWidth="1"/>
    <col min="6" max="6" width="16.42578125" style="5" customWidth="1"/>
    <col min="7" max="7" width="22.28515625" style="5" customWidth="1"/>
    <col min="8" max="8" width="19.7109375" style="34" customWidth="1"/>
    <col min="9" max="9" width="89.5703125" style="5" customWidth="1"/>
    <col min="10" max="10" width="31.7109375" style="5" customWidth="1"/>
    <col min="11" max="11" width="17.5703125" style="5" customWidth="1"/>
    <col min="12" max="12" width="11" style="5" customWidth="1"/>
    <col min="13" max="13" width="18.28515625" style="5" customWidth="1"/>
    <col min="14" max="14" width="14.28515625" style="5" customWidth="1"/>
    <col min="15" max="15" width="10.7109375" style="5" customWidth="1"/>
    <col min="16" max="16" width="11.42578125" style="5" customWidth="1"/>
    <col min="17" max="17" width="21.140625" style="5" customWidth="1"/>
    <col min="18" max="18" width="16.140625" style="5" customWidth="1"/>
    <col min="19" max="19" width="21.28515625" style="5" customWidth="1"/>
    <col min="20" max="20" width="25.140625" style="5" customWidth="1"/>
    <col min="21" max="21" width="18.42578125" style="5" bestFit="1" customWidth="1"/>
    <col min="22" max="22" width="16.5703125" style="5" customWidth="1"/>
    <col min="23" max="23" width="21.140625" style="5" customWidth="1"/>
    <col min="24" max="24" width="26" style="5" customWidth="1"/>
    <col min="25" max="25" width="25.42578125" style="5" customWidth="1"/>
    <col min="26" max="26" width="34.140625" style="5" customWidth="1"/>
    <col min="27" max="27" width="17.28515625" style="5" bestFit="1" customWidth="1"/>
    <col min="28" max="28" width="12.5703125" style="5" customWidth="1"/>
    <col min="29" max="30" width="11.5703125" style="5" bestFit="1" customWidth="1"/>
    <col min="31" max="31" width="18.5703125" style="5" customWidth="1"/>
    <col min="32" max="32" width="21" style="5" customWidth="1"/>
    <col min="33" max="33" width="22.85546875" style="5" customWidth="1"/>
    <col min="34" max="34" width="23.42578125" style="5" customWidth="1"/>
    <col min="35" max="35" width="18.42578125" style="5" bestFit="1" customWidth="1"/>
    <col min="36" max="36" width="16" style="5" customWidth="1"/>
    <col min="37" max="37" width="18.7109375" style="5" customWidth="1"/>
    <col min="38" max="38" width="11.42578125" style="5"/>
    <col min="39" max="39" width="12.5703125" style="5" customWidth="1"/>
    <col min="40" max="40" width="16.28515625" style="5" bestFit="1" customWidth="1"/>
    <col min="41" max="41" width="14.42578125" style="5" bestFit="1" customWidth="1"/>
    <col min="42" max="42" width="16.28515625" style="5" bestFit="1" customWidth="1"/>
    <col min="43" max="43" width="18.85546875" style="5" bestFit="1" customWidth="1"/>
    <col min="44" max="44" width="16.28515625" style="5" bestFit="1" customWidth="1"/>
    <col min="45" max="45" width="11.42578125" style="5"/>
    <col min="46" max="47" width="11.5703125" style="5" bestFit="1" customWidth="1"/>
    <col min="48" max="16384" width="11.42578125" style="5"/>
  </cols>
  <sheetData>
    <row r="2" spans="2:47" ht="21.75" customHeight="1" thickBot="1" x14ac:dyDescent="0.3">
      <c r="B2" s="62" t="s">
        <v>51</v>
      </c>
      <c r="C2" s="63"/>
      <c r="D2" s="63"/>
      <c r="E2" s="63"/>
      <c r="F2" s="63"/>
      <c r="G2" s="63"/>
      <c r="H2" s="63"/>
      <c r="I2" s="63"/>
      <c r="J2" s="64"/>
      <c r="K2" s="1"/>
      <c r="L2" s="1"/>
      <c r="M2" s="2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2:47" s="22" customFormat="1" ht="41.25" customHeight="1" x14ac:dyDescent="0.3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/>
      <c r="L3" s="8"/>
      <c r="M3" s="9" t="s">
        <v>9</v>
      </c>
      <c r="N3" s="10" t="s">
        <v>10</v>
      </c>
      <c r="O3" s="10" t="s">
        <v>11</v>
      </c>
      <c r="P3" s="11" t="s">
        <v>12</v>
      </c>
      <c r="Q3" s="12" t="s">
        <v>13</v>
      </c>
      <c r="R3" s="13" t="s">
        <v>14</v>
      </c>
      <c r="S3" s="13" t="s">
        <v>15</v>
      </c>
      <c r="T3" s="13" t="s">
        <v>16</v>
      </c>
      <c r="U3" s="13" t="s">
        <v>17</v>
      </c>
      <c r="V3" s="13" t="s">
        <v>18</v>
      </c>
      <c r="W3" s="14" t="s">
        <v>19</v>
      </c>
      <c r="X3" s="15" t="s">
        <v>20</v>
      </c>
      <c r="Y3" s="11" t="s">
        <v>21</v>
      </c>
      <c r="Z3" s="16" t="s">
        <v>22</v>
      </c>
      <c r="AA3" s="17" t="s">
        <v>23</v>
      </c>
      <c r="AB3" s="17" t="s">
        <v>24</v>
      </c>
      <c r="AC3" s="17" t="s">
        <v>25</v>
      </c>
      <c r="AD3" s="17" t="s">
        <v>26</v>
      </c>
      <c r="AE3" s="18" t="s">
        <v>27</v>
      </c>
      <c r="AF3" s="15" t="s">
        <v>28</v>
      </c>
      <c r="AG3" s="15" t="s">
        <v>29</v>
      </c>
      <c r="AH3" s="19" t="s">
        <v>17</v>
      </c>
      <c r="AI3" s="20" t="s">
        <v>30</v>
      </c>
      <c r="AJ3" s="20" t="s">
        <v>31</v>
      </c>
      <c r="AK3" s="21" t="s">
        <v>32</v>
      </c>
      <c r="AM3" s="23" t="s">
        <v>33</v>
      </c>
      <c r="AN3" s="23" t="s">
        <v>34</v>
      </c>
      <c r="AO3" s="23" t="s">
        <v>35</v>
      </c>
      <c r="AP3" s="23" t="s">
        <v>36</v>
      </c>
      <c r="AQ3" s="23" t="s">
        <v>37</v>
      </c>
      <c r="AR3" s="23" t="s">
        <v>38</v>
      </c>
      <c r="AT3" s="24" t="s">
        <v>39</v>
      </c>
      <c r="AU3" s="24" t="s">
        <v>40</v>
      </c>
    </row>
    <row r="4" spans="2:47" s="32" customFormat="1" ht="252.75" customHeight="1" x14ac:dyDescent="0.25">
      <c r="B4" s="25">
        <v>1</v>
      </c>
      <c r="C4" s="65" t="s">
        <v>44</v>
      </c>
      <c r="D4" s="65"/>
      <c r="E4" s="26"/>
      <c r="F4" s="27">
        <v>5000</v>
      </c>
      <c r="G4" s="28">
        <v>2.15</v>
      </c>
      <c r="H4" s="68" t="s">
        <v>50</v>
      </c>
      <c r="I4" s="29" t="s">
        <v>48</v>
      </c>
      <c r="J4" s="30">
        <f>F4*G4</f>
        <v>10750</v>
      </c>
      <c r="K4" s="31" t="s">
        <v>47</v>
      </c>
      <c r="M4" s="35" t="s">
        <v>42</v>
      </c>
      <c r="N4" s="66" t="s">
        <v>43</v>
      </c>
      <c r="O4" s="67"/>
      <c r="P4" s="35"/>
      <c r="Q4" s="36">
        <v>1.5</v>
      </c>
      <c r="R4" s="37">
        <v>30</v>
      </c>
      <c r="S4" s="38">
        <f t="shared" ref="S4:S5" si="0">Q4*R4/100</f>
        <v>0.45</v>
      </c>
      <c r="T4" s="39">
        <f t="shared" ref="T4:T5" si="1">S4*V4</f>
        <v>2250</v>
      </c>
      <c r="U4" s="40">
        <f t="shared" ref="U4:U5" si="2">Q4+S4</f>
        <v>1.95</v>
      </c>
      <c r="V4" s="41">
        <f>F4</f>
        <v>5000</v>
      </c>
      <c r="W4" s="42">
        <f>Q4*50</f>
        <v>75</v>
      </c>
      <c r="X4" s="43">
        <v>350</v>
      </c>
      <c r="Y4" s="44">
        <f t="shared" ref="Y4:Y5" si="3">V4*U4+W4+X4</f>
        <v>10175</v>
      </c>
      <c r="Z4" s="45"/>
      <c r="AA4" s="46">
        <v>0</v>
      </c>
      <c r="AB4" s="47">
        <v>1</v>
      </c>
      <c r="AC4" s="47">
        <v>1</v>
      </c>
      <c r="AD4" s="47">
        <v>1</v>
      </c>
      <c r="AE4" s="48">
        <f t="shared" ref="AE4:AE5" si="4">AA4*AB4*AC4*AD4</f>
        <v>0</v>
      </c>
      <c r="AF4" s="49">
        <f>T4/150*4.55</f>
        <v>68.25</v>
      </c>
      <c r="AG4" s="50">
        <f>1.5%*(Y4+AE4+AF4)</f>
        <v>153.64875000000001</v>
      </c>
      <c r="AH4" s="51">
        <f t="shared" ref="AH4:AH5" si="5">Y4+AE4+AG4+AF4</f>
        <v>10396.89875</v>
      </c>
      <c r="AI4" s="33">
        <f t="shared" ref="AI4:AI5" si="6">AH4/V4</f>
        <v>2.0793797500000002</v>
      </c>
      <c r="AJ4" s="52">
        <f t="shared" ref="AJ4:AJ5" si="7">AI4*18%</f>
        <v>0.37428835500000002</v>
      </c>
      <c r="AK4" s="53">
        <f t="shared" ref="AK4:AK5" si="8">AI4+AJ4</f>
        <v>2.4536681050000002</v>
      </c>
    </row>
    <row r="5" spans="2:47" s="32" customFormat="1" ht="252.75" customHeight="1" x14ac:dyDescent="0.25">
      <c r="B5" s="25">
        <v>2</v>
      </c>
      <c r="C5" s="65" t="s">
        <v>41</v>
      </c>
      <c r="D5" s="65"/>
      <c r="E5" s="26"/>
      <c r="F5" s="27">
        <v>10000</v>
      </c>
      <c r="G5" s="28">
        <v>2.59</v>
      </c>
      <c r="H5" s="69"/>
      <c r="I5" s="29" t="s">
        <v>49</v>
      </c>
      <c r="J5" s="30">
        <f>F5*G5</f>
        <v>25900</v>
      </c>
      <c r="K5" s="31">
        <v>2.65</v>
      </c>
      <c r="M5" s="35" t="s">
        <v>42</v>
      </c>
      <c r="N5" s="66" t="s">
        <v>45</v>
      </c>
      <c r="O5" s="67"/>
      <c r="P5" s="35"/>
      <c r="Q5" s="36">
        <v>1.9</v>
      </c>
      <c r="R5" s="37">
        <v>30</v>
      </c>
      <c r="S5" s="38">
        <f t="shared" si="0"/>
        <v>0.56999999999999995</v>
      </c>
      <c r="T5" s="39">
        <f t="shared" si="1"/>
        <v>5699.9999999999991</v>
      </c>
      <c r="U5" s="40">
        <f t="shared" si="2"/>
        <v>2.4699999999999998</v>
      </c>
      <c r="V5" s="41">
        <f>F5</f>
        <v>10000</v>
      </c>
      <c r="W5" s="42">
        <f>Q5*50</f>
        <v>95</v>
      </c>
      <c r="X5" s="43">
        <v>350</v>
      </c>
      <c r="Y5" s="44">
        <f t="shared" si="3"/>
        <v>25144.999999999996</v>
      </c>
      <c r="Z5" s="45"/>
      <c r="AA5" s="46">
        <v>0</v>
      </c>
      <c r="AB5" s="47">
        <v>1</v>
      </c>
      <c r="AC5" s="47">
        <v>1</v>
      </c>
      <c r="AD5" s="47">
        <v>1</v>
      </c>
      <c r="AE5" s="48">
        <f t="shared" si="4"/>
        <v>0</v>
      </c>
      <c r="AF5" s="49">
        <f>T5/100*4.55</f>
        <v>259.34999999999997</v>
      </c>
      <c r="AG5" s="50">
        <f>1.5%*(Y5+AE5+AF5)</f>
        <v>381.06524999999993</v>
      </c>
      <c r="AH5" s="51">
        <f t="shared" si="5"/>
        <v>25785.415249999995</v>
      </c>
      <c r="AI5" s="33">
        <f t="shared" si="6"/>
        <v>2.5785415249999994</v>
      </c>
      <c r="AJ5" s="52">
        <f t="shared" si="7"/>
        <v>0.46413747449999987</v>
      </c>
      <c r="AK5" s="53">
        <f t="shared" si="8"/>
        <v>3.0426789994999992</v>
      </c>
    </row>
    <row r="6" spans="2:47" ht="23.25" x14ac:dyDescent="0.35">
      <c r="I6" s="7" t="s">
        <v>46</v>
      </c>
      <c r="J6" s="30">
        <f>SUM(J4:J5)</f>
        <v>36650</v>
      </c>
      <c r="K6" s="55">
        <f>T6/J6</f>
        <v>0.21691678035470666</v>
      </c>
      <c r="M6" s="54"/>
      <c r="N6" s="54"/>
      <c r="O6" s="54"/>
      <c r="P6" s="54"/>
      <c r="Q6" s="54"/>
      <c r="R6" s="54"/>
      <c r="S6" s="54"/>
      <c r="T6" s="39">
        <f>SUM(T4:T5)</f>
        <v>7949.9999999999991</v>
      </c>
      <c r="U6" s="54"/>
      <c r="V6" s="54"/>
      <c r="W6" s="54"/>
      <c r="X6" s="39">
        <f>SUM(X4:X5)</f>
        <v>700</v>
      </c>
      <c r="Y6" s="54"/>
      <c r="Z6" s="54"/>
      <c r="AA6" s="54"/>
      <c r="AB6" s="54"/>
      <c r="AC6" s="54"/>
      <c r="AD6" s="54"/>
      <c r="AE6" s="54"/>
      <c r="AF6" s="39">
        <f>SUM(AF4:AF5)</f>
        <v>327.59999999999997</v>
      </c>
      <c r="AG6" s="39">
        <f>SUM(AG4:AG5)</f>
        <v>534.71399999999994</v>
      </c>
      <c r="AH6" s="54"/>
      <c r="AI6" s="54"/>
      <c r="AJ6" s="54"/>
      <c r="AK6" s="54"/>
    </row>
    <row r="7" spans="2:47" ht="21" x14ac:dyDescent="0.35"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</row>
  </sheetData>
  <sheetProtection selectLockedCells="1" selectUnlockedCells="1"/>
  <mergeCells count="6">
    <mergeCell ref="B2:J2"/>
    <mergeCell ref="C4:D4"/>
    <mergeCell ref="N4:O4"/>
    <mergeCell ref="C5:D5"/>
    <mergeCell ref="N5:O5"/>
    <mergeCell ref="H4:H5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F7AA-16FD-417E-BEAB-6C74859FC04E}">
  <dimension ref="B2:AU10"/>
  <sheetViews>
    <sheetView showGridLines="0" tabSelected="1" topLeftCell="E1" zoomScale="60" zoomScaleNormal="60" workbookViewId="0">
      <selection activeCell="B2" sqref="B2:J4"/>
    </sheetView>
  </sheetViews>
  <sheetFormatPr baseColWidth="10" defaultColWidth="11.42578125" defaultRowHeight="15" x14ac:dyDescent="0.25"/>
  <cols>
    <col min="1" max="1" width="3.140625" style="5" customWidth="1"/>
    <col min="2" max="2" width="5.42578125" style="5" customWidth="1"/>
    <col min="3" max="3" width="18" style="5" customWidth="1"/>
    <col min="4" max="4" width="24.140625" style="5" customWidth="1"/>
    <col min="5" max="5" width="54.42578125" style="5" customWidth="1"/>
    <col min="6" max="6" width="16.42578125" style="5" customWidth="1"/>
    <col min="7" max="7" width="22.28515625" style="5" customWidth="1"/>
    <col min="8" max="8" width="19.7109375" style="34" customWidth="1"/>
    <col min="9" max="9" width="89.5703125" style="5" customWidth="1"/>
    <col min="10" max="10" width="31.7109375" style="5" customWidth="1"/>
    <col min="11" max="11" width="17.5703125" style="5" customWidth="1"/>
    <col min="12" max="12" width="7" style="5" customWidth="1"/>
    <col min="13" max="13" width="27.85546875" style="5" customWidth="1"/>
    <col min="14" max="14" width="22.85546875" style="5" customWidth="1"/>
    <col min="15" max="15" width="25.28515625" style="5" customWidth="1"/>
    <col min="16" max="16" width="11.42578125" style="5" customWidth="1"/>
    <col min="17" max="17" width="21.140625" style="5" customWidth="1"/>
    <col min="18" max="18" width="16.140625" style="5" customWidth="1"/>
    <col min="19" max="19" width="21.28515625" style="5" customWidth="1"/>
    <col min="20" max="20" width="25.140625" style="5" customWidth="1"/>
    <col min="21" max="21" width="18.42578125" style="5" bestFit="1" customWidth="1"/>
    <col min="22" max="22" width="16.5703125" style="5" customWidth="1"/>
    <col min="23" max="23" width="21.140625" style="5" customWidth="1"/>
    <col min="24" max="24" width="26" style="5" customWidth="1"/>
    <col min="25" max="25" width="25.42578125" style="5" customWidth="1"/>
    <col min="26" max="26" width="34.140625" style="5" customWidth="1"/>
    <col min="27" max="27" width="17.28515625" style="5" bestFit="1" customWidth="1"/>
    <col min="28" max="28" width="12.5703125" style="5" customWidth="1"/>
    <col min="29" max="30" width="11.5703125" style="5" bestFit="1" customWidth="1"/>
    <col min="31" max="31" width="18.5703125" style="5" customWidth="1"/>
    <col min="32" max="32" width="21" style="5" customWidth="1"/>
    <col min="33" max="33" width="22.85546875" style="5" customWidth="1"/>
    <col min="34" max="34" width="23.42578125" style="5" customWidth="1"/>
    <col min="35" max="35" width="18.42578125" style="5" bestFit="1" customWidth="1"/>
    <col min="36" max="36" width="16" style="5" customWidth="1"/>
    <col min="37" max="37" width="18.7109375" style="5" customWidth="1"/>
    <col min="38" max="38" width="11.42578125" style="5"/>
    <col min="39" max="39" width="12.5703125" style="5" customWidth="1"/>
    <col min="40" max="40" width="16.28515625" style="5" bestFit="1" customWidth="1"/>
    <col min="41" max="41" width="14.42578125" style="5" bestFit="1" customWidth="1"/>
    <col min="42" max="42" width="16.28515625" style="5" bestFit="1" customWidth="1"/>
    <col min="43" max="43" width="18.85546875" style="5" bestFit="1" customWidth="1"/>
    <col min="44" max="44" width="16.28515625" style="5" bestFit="1" customWidth="1"/>
    <col min="45" max="45" width="11.42578125" style="5"/>
    <col min="46" max="47" width="11.5703125" style="5" bestFit="1" customWidth="1"/>
    <col min="48" max="16384" width="11.42578125" style="5"/>
  </cols>
  <sheetData>
    <row r="2" spans="2:47" ht="21.75" customHeight="1" thickBot="1" x14ac:dyDescent="0.3">
      <c r="B2" s="62" t="s">
        <v>62</v>
      </c>
      <c r="C2" s="63"/>
      <c r="D2" s="63"/>
      <c r="E2" s="63"/>
      <c r="F2" s="63"/>
      <c r="G2" s="63"/>
      <c r="H2" s="63"/>
      <c r="I2" s="63"/>
      <c r="J2" s="64"/>
      <c r="K2" s="1"/>
      <c r="L2" s="1"/>
      <c r="M2" s="2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2:47" s="22" customFormat="1" ht="41.25" customHeight="1" x14ac:dyDescent="0.3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/>
      <c r="L3" s="8"/>
      <c r="M3" s="9" t="s">
        <v>9</v>
      </c>
      <c r="N3" s="10" t="s">
        <v>10</v>
      </c>
      <c r="O3" s="10" t="s">
        <v>11</v>
      </c>
      <c r="P3" s="11" t="s">
        <v>12</v>
      </c>
      <c r="Q3" s="12" t="s">
        <v>13</v>
      </c>
      <c r="R3" s="13" t="s">
        <v>14</v>
      </c>
      <c r="S3" s="13" t="s">
        <v>15</v>
      </c>
      <c r="T3" s="13" t="s">
        <v>16</v>
      </c>
      <c r="U3" s="13" t="s">
        <v>17</v>
      </c>
      <c r="V3" s="13" t="s">
        <v>18</v>
      </c>
      <c r="W3" s="14" t="s">
        <v>19</v>
      </c>
      <c r="X3" s="15" t="s">
        <v>20</v>
      </c>
      <c r="Y3" s="11" t="s">
        <v>21</v>
      </c>
      <c r="Z3" s="16" t="s">
        <v>22</v>
      </c>
      <c r="AA3" s="17" t="s">
        <v>23</v>
      </c>
      <c r="AB3" s="17" t="s">
        <v>24</v>
      </c>
      <c r="AC3" s="17" t="s">
        <v>25</v>
      </c>
      <c r="AD3" s="17" t="s">
        <v>26</v>
      </c>
      <c r="AE3" s="18" t="s">
        <v>27</v>
      </c>
      <c r="AF3" s="15" t="s">
        <v>28</v>
      </c>
      <c r="AG3" s="15" t="s">
        <v>29</v>
      </c>
      <c r="AH3" s="19" t="s">
        <v>17</v>
      </c>
      <c r="AI3" s="20" t="s">
        <v>30</v>
      </c>
      <c r="AJ3" s="20" t="s">
        <v>31</v>
      </c>
      <c r="AK3" s="21" t="s">
        <v>32</v>
      </c>
      <c r="AM3" s="23" t="s">
        <v>33</v>
      </c>
      <c r="AN3" s="23" t="s">
        <v>34</v>
      </c>
      <c r="AO3" s="23" t="s">
        <v>35</v>
      </c>
      <c r="AP3" s="23" t="s">
        <v>36</v>
      </c>
      <c r="AQ3" s="23" t="s">
        <v>37</v>
      </c>
      <c r="AR3" s="23" t="s">
        <v>38</v>
      </c>
      <c r="AT3" s="24" t="s">
        <v>39</v>
      </c>
      <c r="AU3" s="24" t="s">
        <v>40</v>
      </c>
    </row>
    <row r="4" spans="2:47" s="32" customFormat="1" ht="230.25" customHeight="1" x14ac:dyDescent="0.35">
      <c r="B4" s="25">
        <v>1</v>
      </c>
      <c r="C4" s="60" t="s">
        <v>55</v>
      </c>
      <c r="D4" s="60" t="s">
        <v>57</v>
      </c>
      <c r="E4" s="58" t="s">
        <v>54</v>
      </c>
      <c r="F4" s="27">
        <v>10000</v>
      </c>
      <c r="G4" s="28">
        <v>3.19</v>
      </c>
      <c r="H4" s="57" t="s">
        <v>60</v>
      </c>
      <c r="I4" s="29" t="s">
        <v>64</v>
      </c>
      <c r="J4" s="30">
        <f>F4*G4</f>
        <v>31900</v>
      </c>
      <c r="K4" s="61">
        <f>T4/J4</f>
        <v>0.21677912969555282</v>
      </c>
      <c r="M4" s="35" t="s">
        <v>52</v>
      </c>
      <c r="N4" s="59" t="s">
        <v>56</v>
      </c>
      <c r="O4" s="35" t="s">
        <v>63</v>
      </c>
      <c r="P4" s="35"/>
      <c r="Q4" s="36">
        <f>2.55/1.18</f>
        <v>2.1610169491525424</v>
      </c>
      <c r="R4" s="37">
        <v>32</v>
      </c>
      <c r="S4" s="38">
        <f t="shared" ref="S4" si="0">Q4*R4/100</f>
        <v>0.69152542372881354</v>
      </c>
      <c r="T4" s="39">
        <f t="shared" ref="T4" si="1">S4*V4</f>
        <v>6915.2542372881353</v>
      </c>
      <c r="U4" s="40">
        <f t="shared" ref="U4" si="2">Q4+S4</f>
        <v>2.8525423728813557</v>
      </c>
      <c r="V4" s="41">
        <f>F4</f>
        <v>10000</v>
      </c>
      <c r="W4" s="42">
        <f>Q4*50</f>
        <v>108.05084745762711</v>
      </c>
      <c r="X4" s="43">
        <f>60+60+120</f>
        <v>240</v>
      </c>
      <c r="Y4" s="44">
        <f t="shared" ref="Y4" si="3">V4*U4+W4+X4</f>
        <v>28873.474576271183</v>
      </c>
      <c r="Z4" s="45" t="s">
        <v>59</v>
      </c>
      <c r="AA4" s="46">
        <v>245</v>
      </c>
      <c r="AB4" s="47">
        <v>1</v>
      </c>
      <c r="AC4" s="47">
        <v>1</v>
      </c>
      <c r="AD4" s="47">
        <v>10</v>
      </c>
      <c r="AE4" s="48">
        <f t="shared" ref="AE4" si="4">AA4*AB4*AC4*AD4</f>
        <v>2450</v>
      </c>
      <c r="AF4" s="49">
        <f>V4/250*3.85</f>
        <v>154</v>
      </c>
      <c r="AG4" s="50">
        <f>1.5%*(Y4+AE4+AF4)</f>
        <v>472.16211864406773</v>
      </c>
      <c r="AH4" s="51">
        <f t="shared" ref="AH4" si="5">Y4+AE4+AG4+AF4</f>
        <v>31949.636694915251</v>
      </c>
      <c r="AI4" s="33">
        <f t="shared" ref="AI4" si="6">AH4/V4</f>
        <v>3.1949636694915249</v>
      </c>
      <c r="AJ4" s="52">
        <f t="shared" ref="AJ4" si="7">AI4*18%</f>
        <v>0.57509346050847443</v>
      </c>
      <c r="AK4" s="53">
        <f t="shared" ref="AK4" si="8">AI4+AJ4</f>
        <v>3.7700571299999992</v>
      </c>
    </row>
    <row r="5" spans="2:47" ht="21" x14ac:dyDescent="0.35"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</row>
    <row r="7" spans="2:47" ht="21.75" customHeight="1" thickBot="1" x14ac:dyDescent="0.3">
      <c r="B7" s="62" t="s">
        <v>53</v>
      </c>
      <c r="C7" s="63"/>
      <c r="D7" s="63"/>
      <c r="E7" s="63"/>
      <c r="F7" s="63"/>
      <c r="G7" s="63"/>
      <c r="H7" s="63"/>
      <c r="I7" s="63"/>
      <c r="J7" s="64"/>
      <c r="K7" s="1"/>
      <c r="L7" s="1"/>
      <c r="M7" s="2"/>
      <c r="N7" s="1"/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4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2:47" s="22" customFormat="1" ht="41.25" customHeight="1" x14ac:dyDescent="0.3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7" t="s">
        <v>5</v>
      </c>
      <c r="H8" s="7" t="s">
        <v>6</v>
      </c>
      <c r="I8" s="7" t="s">
        <v>7</v>
      </c>
      <c r="J8" s="7" t="s">
        <v>8</v>
      </c>
      <c r="K8" s="8"/>
      <c r="L8" s="8"/>
      <c r="M8" s="9" t="s">
        <v>9</v>
      </c>
      <c r="N8" s="10" t="s">
        <v>10</v>
      </c>
      <c r="O8" s="10" t="s">
        <v>11</v>
      </c>
      <c r="P8" s="11" t="s">
        <v>12</v>
      </c>
      <c r="Q8" s="12" t="s">
        <v>13</v>
      </c>
      <c r="R8" s="13" t="s">
        <v>14</v>
      </c>
      <c r="S8" s="13" t="s">
        <v>15</v>
      </c>
      <c r="T8" s="13" t="s">
        <v>16</v>
      </c>
      <c r="U8" s="13" t="s">
        <v>17</v>
      </c>
      <c r="V8" s="13" t="s">
        <v>18</v>
      </c>
      <c r="W8" s="14" t="s">
        <v>19</v>
      </c>
      <c r="X8" s="15" t="s">
        <v>20</v>
      </c>
      <c r="Y8" s="11" t="s">
        <v>21</v>
      </c>
      <c r="Z8" s="16" t="s">
        <v>22</v>
      </c>
      <c r="AA8" s="17" t="s">
        <v>23</v>
      </c>
      <c r="AB8" s="17" t="s">
        <v>24</v>
      </c>
      <c r="AC8" s="17" t="s">
        <v>25</v>
      </c>
      <c r="AD8" s="17" t="s">
        <v>26</v>
      </c>
      <c r="AE8" s="18" t="s">
        <v>27</v>
      </c>
      <c r="AF8" s="15" t="s">
        <v>28</v>
      </c>
      <c r="AG8" s="15" t="s">
        <v>29</v>
      </c>
      <c r="AH8" s="19" t="s">
        <v>17</v>
      </c>
      <c r="AI8" s="20" t="s">
        <v>30</v>
      </c>
      <c r="AJ8" s="20" t="s">
        <v>31</v>
      </c>
      <c r="AK8" s="21" t="s">
        <v>32</v>
      </c>
      <c r="AM8" s="23" t="s">
        <v>33</v>
      </c>
      <c r="AN8" s="23" t="s">
        <v>34</v>
      </c>
      <c r="AO8" s="23" t="s">
        <v>35</v>
      </c>
      <c r="AP8" s="23" t="s">
        <v>36</v>
      </c>
      <c r="AQ8" s="23" t="s">
        <v>37</v>
      </c>
      <c r="AR8" s="23" t="s">
        <v>38</v>
      </c>
      <c r="AT8" s="24" t="s">
        <v>39</v>
      </c>
      <c r="AU8" s="24" t="s">
        <v>40</v>
      </c>
    </row>
    <row r="9" spans="2:47" s="32" customFormat="1" ht="288.75" customHeight="1" x14ac:dyDescent="0.35">
      <c r="B9" s="25">
        <v>1</v>
      </c>
      <c r="C9" s="56" t="s">
        <v>55</v>
      </c>
      <c r="D9" s="56" t="s">
        <v>57</v>
      </c>
      <c r="E9" s="58" t="s">
        <v>54</v>
      </c>
      <c r="F9" s="27">
        <v>10000</v>
      </c>
      <c r="G9" s="28">
        <v>3.75</v>
      </c>
      <c r="H9" s="57" t="s">
        <v>60</v>
      </c>
      <c r="I9" s="29" t="s">
        <v>61</v>
      </c>
      <c r="J9" s="30">
        <f>F9*G9</f>
        <v>37500</v>
      </c>
      <c r="K9" s="61">
        <f>T9/J9</f>
        <v>0.22395254237288134</v>
      </c>
      <c r="M9" s="35" t="s">
        <v>52</v>
      </c>
      <c r="N9" s="59" t="s">
        <v>56</v>
      </c>
      <c r="O9" s="35" t="s">
        <v>58</v>
      </c>
      <c r="P9" s="35"/>
      <c r="Q9" s="36">
        <f>(2.8*7100+3.5*2900)/10000/1.18</f>
        <v>2.5449152542372881</v>
      </c>
      <c r="R9" s="37">
        <v>33</v>
      </c>
      <c r="S9" s="38">
        <f t="shared" ref="S9" si="9">Q9*R9/100</f>
        <v>0.83982203389830501</v>
      </c>
      <c r="T9" s="39">
        <f t="shared" ref="T9" si="10">S9*V9</f>
        <v>8398.2203389830502</v>
      </c>
      <c r="U9" s="40">
        <f t="shared" ref="U9" si="11">Q9+S9</f>
        <v>3.384737288135593</v>
      </c>
      <c r="V9" s="41">
        <f>F9</f>
        <v>10000</v>
      </c>
      <c r="W9" s="42">
        <f>Q9*40</f>
        <v>101.79661016949153</v>
      </c>
      <c r="X9" s="43">
        <f>60+60+120</f>
        <v>240</v>
      </c>
      <c r="Y9" s="44">
        <f t="shared" ref="Y9" si="12">V9*U9+W9+X9</f>
        <v>34189.169491525419</v>
      </c>
      <c r="Z9" s="45" t="s">
        <v>59</v>
      </c>
      <c r="AA9" s="46">
        <v>245</v>
      </c>
      <c r="AB9" s="47">
        <v>1</v>
      </c>
      <c r="AC9" s="47">
        <v>1</v>
      </c>
      <c r="AD9" s="47">
        <v>10</v>
      </c>
      <c r="AE9" s="48">
        <f t="shared" ref="AE9" si="13">AA9*AB9*AC9*AD9</f>
        <v>2450</v>
      </c>
      <c r="AF9" s="49">
        <f>V9/250*4.85</f>
        <v>194</v>
      </c>
      <c r="AG9" s="50">
        <f>1.5%*(Y9+AE9+AF9)</f>
        <v>552.4975423728813</v>
      </c>
      <c r="AH9" s="51">
        <f t="shared" ref="AH9" si="14">Y9+AE9+AG9+AF9</f>
        <v>37385.667033898302</v>
      </c>
      <c r="AI9" s="33">
        <f t="shared" ref="AI9" si="15">AH9/V9</f>
        <v>3.7385667033898304</v>
      </c>
      <c r="AJ9" s="52">
        <f t="shared" ref="AJ9" si="16">AI9*18%</f>
        <v>0.67294200661016945</v>
      </c>
      <c r="AK9" s="53">
        <f t="shared" ref="AK9" si="17">AI9+AJ9</f>
        <v>4.4115087099999997</v>
      </c>
    </row>
    <row r="10" spans="2:47" ht="21" x14ac:dyDescent="0.35"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</row>
  </sheetData>
  <sheetProtection selectLockedCells="1" selectUnlockedCells="1"/>
  <mergeCells count="2">
    <mergeCell ref="B7:J7"/>
    <mergeCell ref="B2:J2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JUNIO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2025-01-28T22:07:32Z</dcterms:created>
  <dcterms:modified xsi:type="dcterms:W3CDTF">2026-06-03T18:35:30Z</dcterms:modified>
  <cp:category/>
  <cp:contentStatus/>
</cp:coreProperties>
</file>