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INA 2025\"/>
    </mc:Choice>
  </mc:AlternateContent>
  <xr:revisionPtr revIDLastSave="1" documentId="13_ncr:1_{174B4C65-1C6F-49E2-9108-6ACA218E29DF}" xr6:coauthVersionLast="47" xr6:coauthVersionMax="47" xr10:uidLastSave="{DA82D674-369B-48F9-AFE0-0D9243A0C7F3}"/>
  <bookViews>
    <workbookView xWindow="-120" yWindow="-120" windowWidth="29040" windowHeight="15840" firstSheet="1" activeTab="1" xr2:uid="{00000000-000D-0000-FFFF-FFFF00000000}"/>
  </bookViews>
  <sheets>
    <sheet name="Hoja1" sheetId="3" r:id="rId1"/>
    <sheet name="SETIEMBRE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4" l="1"/>
  <c r="V5" i="4"/>
  <c r="U5" i="4"/>
  <c r="P5" i="4"/>
  <c r="J5" i="4"/>
  <c r="R5" i="4" l="1"/>
  <c r="S5" i="4" s="1"/>
  <c r="T5" i="4" l="1"/>
  <c r="X5" i="4" s="1"/>
  <c r="AF5" i="4" l="1"/>
  <c r="AG5" i="4" s="1"/>
  <c r="AH5" i="4" s="1"/>
  <c r="AI5" i="4" l="1"/>
  <c r="AJ5" i="4" s="1"/>
  <c r="Q6" i="3" l="1"/>
  <c r="AD5" i="3"/>
  <c r="V5" i="3"/>
  <c r="U5" i="3"/>
  <c r="P5" i="3"/>
  <c r="R5" i="3" s="1"/>
  <c r="J5" i="3"/>
  <c r="AD10" i="3"/>
  <c r="U10" i="3"/>
  <c r="P10" i="3"/>
  <c r="V10" i="3" s="1"/>
  <c r="V23" i="3"/>
  <c r="AD23" i="3"/>
  <c r="W23" i="3"/>
  <c r="U23" i="3"/>
  <c r="P23" i="3"/>
  <c r="J23" i="3"/>
  <c r="P15" i="3"/>
  <c r="V15" i="3" s="1"/>
  <c r="S5" i="3" l="1"/>
  <c r="T5" i="3"/>
  <c r="X5" i="3" s="1"/>
  <c r="R10" i="3"/>
  <c r="S10" i="3" s="1"/>
  <c r="R23" i="3"/>
  <c r="S23" i="3" s="1"/>
  <c r="J15" i="3"/>
  <c r="W15" i="3"/>
  <c r="AF5" i="3" l="1"/>
  <c r="AG5" i="3" s="1"/>
  <c r="AH5" i="3" s="1"/>
  <c r="T10" i="3"/>
  <c r="X10" i="3" s="1"/>
  <c r="AF10" i="3" s="1"/>
  <c r="T23" i="3"/>
  <c r="X23" i="3" s="1"/>
  <c r="AF23" i="3" s="1"/>
  <c r="AG23" i="3" s="1"/>
  <c r="AH23" i="3" s="1"/>
  <c r="AD15" i="3"/>
  <c r="U15" i="3"/>
  <c r="L14" i="3"/>
  <c r="AI5" i="3" l="1"/>
  <c r="AJ5" i="3" s="1"/>
  <c r="AG10" i="3"/>
  <c r="AH10" i="3" s="1"/>
  <c r="J10" i="3" s="1"/>
  <c r="AI23" i="3"/>
  <c r="AJ23" i="3" s="1"/>
  <c r="R15" i="3"/>
  <c r="T15" i="3" s="1"/>
  <c r="X15" i="3" s="1"/>
  <c r="AF15" i="3" s="1"/>
  <c r="AI10" i="3" l="1"/>
  <c r="AJ10" i="3" s="1"/>
  <c r="S15" i="3"/>
  <c r="AG15" i="3"/>
  <c r="AH15" i="3" s="1"/>
  <c r="AI15" i="3" l="1"/>
  <c r="AJ15" i="3" s="1"/>
</calcChain>
</file>

<file path=xl/sharedStrings.xml><?xml version="1.0" encoding="utf-8"?>
<sst xmlns="http://schemas.openxmlformats.org/spreadsheetml/2006/main" count="220" uniqueCount="61">
  <si>
    <t>COTIZACIÓN PROPUESTA_ Laboratorios Biomont_13.06.25</t>
  </si>
  <si>
    <t> Lima-30 días esta viendo proveedores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</si>
  <si>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</si>
  <si>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</si>
  <si>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</si>
  <si>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</si>
  <si>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</si>
  <si>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</si>
  <si>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
 No incl IGV (S/.) </t>
  </si>
  <si>
    <t>Tiempo Entrega</t>
  </si>
  <si>
    <t>Detalles</t>
  </si>
  <si>
    <t xml:space="preserve">Costo TOTAL  
No Incl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</si>
  <si>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</si>
  <si>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</si>
  <si>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</si>
  <si>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</si>
  <si>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</si>
  <si>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</si>
  <si>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</si>
  <si>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</si>
  <si>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</si>
  <si>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</si>
  <si>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</si>
  <si>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</si>
  <si>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</si>
  <si>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</si>
  <si>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</si>
  <si>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</si>
  <si>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</si>
  <si>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</si>
  <si>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</si>
  <si>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</si>
  <si>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</si>
  <si>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</si>
  <si>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</si>
  <si>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</si>
  <si>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</si>
  <si>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</si>
  <si>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</si>
  <si>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</si>
  <si>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</si>
  <si>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</si>
  <si>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</si>
  <si>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</si>
  <si>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POLITICA DE PAGO: CREDITO A 30 DIAS</t>
  </si>
  <si>
    <t>(</t>
  </si>
  <si>
    <t>PELUCHE CORPORATIVO</t>
  </si>
  <si>
    <t>Imagen referencial</t>
  </si>
  <si>
    <t>35 a 40 Dias utiles</t>
  </si>
  <si>
    <r>
      <rPr>
        <b/>
        <u/>
        <sz val="16"/>
        <rFont val="Arial"/>
        <family val="2"/>
      </rPr>
      <t>PELUCHE CORPORATIVO</t>
    </r>
    <r>
      <rPr>
        <sz val="16"/>
        <rFont val="Arial"/>
        <family val="2"/>
      </rPr>
      <t xml:space="preserve">
Material: Tela peluche, napa de relleno.
Medida: Entre 16-18 cm aprox de alto, ancho proporcional.
Modelo: Perro
</t>
    </r>
    <r>
      <rPr>
        <b/>
        <sz val="16"/>
        <rFont val="Arial"/>
        <family val="2"/>
      </rPr>
      <t>Diseño: Incluye posibilidad de cambio de diseños hasta 5 diseños de sublimado en pañoletas</t>
    </r>
    <r>
      <rPr>
        <sz val="16"/>
        <rFont val="Arial"/>
        <family val="2"/>
      </rPr>
      <t xml:space="preserve"> y etiqueta de 2.5 x 2.5 cm en todos los peluches
Acabados: Antialergico, con volumen para apoyarse.
Presentacion: Empaque grupal bolsa transparente grande, no bolsa individual
</t>
    </r>
    <r>
      <rPr>
        <sz val="16"/>
        <color rgb="FFFF0000"/>
        <rFont val="Arial"/>
        <family val="2"/>
      </rPr>
      <t>*Incluye  diseño sublimado en pañuelo y logo en etiqueta en base de peluche
*Arte y diseño facilitado por el cliente.</t>
    </r>
  </si>
  <si>
    <t>Prov. Esppnjoosos Peluches
Anahi
901 246 532</t>
  </si>
  <si>
    <t>16.5 incl igv
35-37 dias  (L-S)</t>
  </si>
  <si>
    <t>COTIZACIÓN PROPUESTA_ Laboratorios Biomont_28.04.25</t>
  </si>
  <si>
    <t>28 a 30 Dias utiles</t>
  </si>
  <si>
    <t>costo anterior:
16.15
en base de 240 unds
300: 18.89</t>
  </si>
  <si>
    <t>16.5 incl igv
21 dias</t>
  </si>
  <si>
    <t>COTIZACIÓN PROPUESTA_ Laboratorios Biomont_26.09.25</t>
  </si>
  <si>
    <t xml:space="preserve">35 a 40 Dias utiles**
</t>
  </si>
  <si>
    <r>
      <rPr>
        <b/>
        <u/>
        <sz val="16"/>
        <color rgb="FF000000"/>
        <rFont val="Arial"/>
      </rPr>
      <t xml:space="preserve">PELUCHE CORPORATIVO
</t>
    </r>
    <r>
      <rPr>
        <sz val="16"/>
        <color rgb="FF000000"/>
        <rFont val="Arial"/>
      </rPr>
      <t xml:space="preserve">Material: Tela peluche, napa de relleno.
Medida: Entre 16-18 cm aprox de alto, ancho proporcional.
Modelo: Perro
</t>
    </r>
    <r>
      <rPr>
        <b/>
        <sz val="16"/>
        <color rgb="FF000000"/>
        <rFont val="Arial"/>
      </rPr>
      <t>Diseño: Incluye posibilidad de cambio de diseños hasta 5 diseños de sublimado en pañoletas</t>
    </r>
    <r>
      <rPr>
        <sz val="16"/>
        <color rgb="FF000000"/>
        <rFont val="Arial"/>
      </rPr>
      <t xml:space="preserve"> y etiqueta de 2.5 x 2.5 cm en todos los peluches
Acabados: Antialergico, con volumen para apoyarse.
Presentacion: Empaque grupal bolsa transparente grande, no bolsa individual
</t>
    </r>
    <r>
      <rPr>
        <sz val="16"/>
        <color rgb="FFFF0000"/>
        <rFont val="Arial"/>
      </rPr>
      <t>*Incluye  diseño sublimado en pañuelo y logo en etiqueta en base de peluche
*Arte y diseño facilitado por el cliente.</t>
    </r>
  </si>
  <si>
    <t>16.5 incl igv
30  (L-v)</t>
  </si>
  <si>
    <t>*Dias contando a  partir del 15 de Agosto que es fecha en la cual ingresarà la produccion.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</si>
</sst>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#,##0.000000000000000"/>
    <numFmt numFmtId="168" formatCode="#,##0.00000000000"/>
  </numFmts>
  <fonts count="32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b/>
      <sz val="16"/>
      <color rgb="FF000000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6"/>
      <color rgb="FFFFFFFF"/>
      <name val="Arial"/>
      <family val="2"/>
    </font>
    <font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0000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6"/>
      <color indexed="10"/>
      <name val="Arial"/>
      <family val="2"/>
    </font>
    <font>
      <sz val="11"/>
      <color indexed="8"/>
      <name val="Calibri"/>
      <family val="2"/>
    </font>
    <font>
      <sz val="11"/>
      <color indexed="52"/>
      <name val="Tahoma"/>
      <family val="2"/>
      <charset val="1"/>
    </font>
    <font>
      <b/>
      <u/>
      <sz val="16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</font>
    <font>
      <b/>
      <sz val="18"/>
      <color indexed="8"/>
      <name val="Arial"/>
      <family val="2"/>
    </font>
    <font>
      <b/>
      <sz val="1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6"/>
      <color rgb="FF000000"/>
      <name val="Arial"/>
    </font>
    <font>
      <sz val="16"/>
      <color rgb="FF000000"/>
      <name val="Arial"/>
    </font>
    <font>
      <b/>
      <sz val="16"/>
      <color rgb="FF000000"/>
      <name val="Arial"/>
    </font>
    <font>
      <sz val="16"/>
      <color rgb="FFFF0000"/>
      <name val="Arial"/>
    </font>
    <font>
      <sz val="16"/>
      <name val="Arial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15" fillId="0" borderId="12"/>
    <xf numFmtId="0" fontId="5" fillId="0" borderId="12"/>
    <xf numFmtId="0" fontId="4" fillId="0" borderId="12"/>
    <xf numFmtId="0" fontId="4" fillId="0" borderId="12"/>
    <xf numFmtId="166" fontId="19" fillId="0" borderId="12" applyFont="0" applyFill="0" applyBorder="0" applyAlignment="0" applyProtection="0"/>
    <xf numFmtId="0" fontId="3" fillId="0" borderId="12"/>
    <xf numFmtId="0" fontId="3" fillId="0" borderId="12"/>
    <xf numFmtId="166" fontId="19" fillId="0" borderId="12" applyFont="0" applyFill="0" applyBorder="0" applyAlignment="0" applyProtection="0"/>
    <xf numFmtId="0" fontId="20" fillId="0" borderId="17" applyProtection="0">
      <alignment vertical="center"/>
    </xf>
    <xf numFmtId="0" fontId="19" fillId="0" borderId="12"/>
    <xf numFmtId="0" fontId="2" fillId="0" borderId="12"/>
    <xf numFmtId="0" fontId="15" fillId="0" borderId="12"/>
    <xf numFmtId="0" fontId="1" fillId="0" borderId="12"/>
  </cellStyleXfs>
  <cellXfs count="76">
    <xf numFmtId="0" fontId="0" fillId="0" borderId="0" xfId="0"/>
    <xf numFmtId="0" fontId="6" fillId="0" borderId="0" xfId="0" applyFont="1"/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vertical="center" wrapText="1"/>
    </xf>
    <xf numFmtId="9" fontId="9" fillId="6" borderId="7" xfId="0" applyNumberFormat="1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wrapText="1"/>
    </xf>
    <xf numFmtId="165" fontId="17" fillId="13" borderId="13" xfId="1" applyNumberFormat="1" applyFont="1" applyFill="1" applyBorder="1" applyAlignment="1">
      <alignment horizontal="center" vertical="center"/>
    </xf>
    <xf numFmtId="164" fontId="11" fillId="11" borderId="13" xfId="1" applyNumberFormat="1" applyFont="1" applyFill="1" applyBorder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165" fontId="17" fillId="9" borderId="13" xfId="1" applyNumberFormat="1" applyFont="1" applyFill="1" applyBorder="1" applyAlignment="1">
      <alignment horizontal="center" vertical="center"/>
    </xf>
    <xf numFmtId="164" fontId="17" fillId="9" borderId="13" xfId="1" applyNumberFormat="1" applyFont="1" applyFill="1" applyBorder="1" applyAlignment="1">
      <alignment horizontal="center" vertical="center"/>
    </xf>
    <xf numFmtId="0" fontId="11" fillId="8" borderId="13" xfId="1" applyFont="1" applyFill="1" applyBorder="1" applyAlignment="1">
      <alignment horizontal="center" vertical="center"/>
    </xf>
    <xf numFmtId="164" fontId="18" fillId="14" borderId="13" xfId="1" applyNumberFormat="1" applyFont="1" applyFill="1" applyBorder="1" applyAlignment="1">
      <alignment horizontal="center" vertical="center"/>
    </xf>
    <xf numFmtId="164" fontId="22" fillId="0" borderId="13" xfId="1" applyNumberFormat="1" applyFont="1" applyBorder="1" applyAlignment="1">
      <alignment horizontal="center" vertical="center"/>
    </xf>
    <xf numFmtId="0" fontId="23" fillId="0" borderId="12" xfId="10" applyFont="1"/>
    <xf numFmtId="0" fontId="22" fillId="13" borderId="13" xfId="1" applyFont="1" applyFill="1" applyBorder="1" applyAlignment="1">
      <alignment horizontal="center" vertical="center" wrapText="1"/>
    </xf>
    <xf numFmtId="0" fontId="23" fillId="0" borderId="13" xfId="10" applyFont="1" applyBorder="1" applyAlignment="1">
      <alignment horizontal="center" vertical="center" wrapText="1"/>
    </xf>
    <xf numFmtId="164" fontId="12" fillId="10" borderId="13" xfId="1" applyNumberFormat="1" applyFont="1" applyFill="1" applyBorder="1" applyAlignment="1">
      <alignment horizontal="center" vertical="center"/>
    </xf>
    <xf numFmtId="164" fontId="13" fillId="10" borderId="13" xfId="1" applyNumberFormat="1" applyFont="1" applyFill="1" applyBorder="1" applyAlignment="1">
      <alignment horizontal="center" vertical="center"/>
    </xf>
    <xf numFmtId="164" fontId="14" fillId="11" borderId="13" xfId="1" applyNumberFormat="1" applyFont="1" applyFill="1" applyBorder="1" applyAlignment="1">
      <alignment horizontal="center" vertical="center"/>
    </xf>
    <xf numFmtId="164" fontId="17" fillId="15" borderId="13" xfId="1" applyNumberFormat="1" applyFont="1" applyFill="1" applyBorder="1" applyAlignment="1">
      <alignment horizontal="center" vertical="center" wrapText="1"/>
    </xf>
    <xf numFmtId="164" fontId="11" fillId="16" borderId="13" xfId="1" applyNumberFormat="1" applyFont="1" applyFill="1" applyBorder="1" applyAlignment="1">
      <alignment horizontal="center" vertical="center"/>
    </xf>
    <xf numFmtId="164" fontId="8" fillId="11" borderId="13" xfId="1" applyNumberFormat="1" applyFont="1" applyFill="1" applyBorder="1" applyAlignment="1">
      <alignment horizontal="center" vertical="center"/>
    </xf>
    <xf numFmtId="164" fontId="9" fillId="12" borderId="13" xfId="1" applyNumberFormat="1" applyFont="1" applyFill="1" applyBorder="1" applyAlignment="1">
      <alignment horizontal="center" vertical="center"/>
    </xf>
    <xf numFmtId="164" fontId="11" fillId="0" borderId="13" xfId="1" applyNumberFormat="1" applyFont="1" applyBorder="1" applyAlignment="1">
      <alignment horizontal="center" vertical="center"/>
    </xf>
    <xf numFmtId="164" fontId="10" fillId="17" borderId="13" xfId="1" applyNumberFormat="1" applyFont="1" applyFill="1" applyBorder="1" applyAlignment="1">
      <alignment horizontal="center" vertical="center"/>
    </xf>
    <xf numFmtId="165" fontId="11" fillId="11" borderId="13" xfId="11" applyNumberFormat="1" applyFont="1" applyFill="1" applyBorder="1" applyAlignment="1">
      <alignment horizontal="center" vertical="center"/>
    </xf>
    <xf numFmtId="165" fontId="14" fillId="11" borderId="13" xfId="1" applyNumberFormat="1" applyFont="1" applyFill="1" applyBorder="1" applyAlignment="1">
      <alignment horizontal="center" vertical="center"/>
    </xf>
    <xf numFmtId="164" fontId="22" fillId="13" borderId="19" xfId="1" applyNumberFormat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164" fontId="22" fillId="0" borderId="12" xfId="1" applyNumberFormat="1" applyFont="1" applyAlignment="1">
      <alignment horizontal="center" vertical="center"/>
    </xf>
    <xf numFmtId="0" fontId="6" fillId="0" borderId="21" xfId="1" applyFont="1" applyBorder="1" applyAlignment="1">
      <alignment horizontal="center" vertical="center" wrapText="1"/>
    </xf>
    <xf numFmtId="0" fontId="23" fillId="0" borderId="22" xfId="10" applyFont="1" applyBorder="1" applyAlignment="1">
      <alignment horizontal="center" vertical="center" wrapText="1"/>
    </xf>
    <xf numFmtId="0" fontId="23" fillId="0" borderId="23" xfId="10" applyFont="1" applyBorder="1" applyAlignment="1">
      <alignment horizontal="center" vertical="center" wrapText="1"/>
    </xf>
    <xf numFmtId="0" fontId="6" fillId="0" borderId="13" xfId="1" applyFont="1" applyBorder="1" applyAlignment="1">
      <alignment horizontal="left" vertical="center" wrapText="1"/>
    </xf>
    <xf numFmtId="0" fontId="9" fillId="0" borderId="18" xfId="1" applyFont="1" applyBorder="1" applyAlignment="1">
      <alignment horizontal="center" vertical="center"/>
    </xf>
    <xf numFmtId="0" fontId="8" fillId="13" borderId="13" xfId="1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 wrapText="1"/>
    </xf>
    <xf numFmtId="164" fontId="22" fillId="0" borderId="20" xfId="1" applyNumberFormat="1" applyFont="1" applyBorder="1" applyAlignment="1">
      <alignment horizontal="center" vertical="center" wrapText="1"/>
    </xf>
    <xf numFmtId="0" fontId="0" fillId="0" borderId="12" xfId="0" applyBorder="1"/>
    <xf numFmtId="0" fontId="6" fillId="0" borderId="12" xfId="0" applyFont="1" applyBorder="1"/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167" fontId="0" fillId="0" borderId="0" xfId="0" applyNumberFormat="1"/>
    <xf numFmtId="1" fontId="9" fillId="8" borderId="13" xfId="1" applyNumberFormat="1" applyFont="1" applyFill="1" applyBorder="1" applyAlignment="1">
      <alignment horizontal="center" vertical="center"/>
    </xf>
    <xf numFmtId="168" fontId="0" fillId="0" borderId="0" xfId="0" applyNumberFormat="1"/>
    <xf numFmtId="0" fontId="26" fillId="0" borderId="33" xfId="0" applyFont="1" applyBorder="1" applyAlignment="1">
      <alignment horizontal="left"/>
    </xf>
    <xf numFmtId="0" fontId="7" fillId="2" borderId="2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5" fillId="9" borderId="25" xfId="0" applyFont="1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24" fillId="0" borderId="13" xfId="1" applyFont="1" applyBorder="1" applyAlignment="1">
      <alignment horizontal="center" vertical="center" wrapText="1"/>
    </xf>
    <xf numFmtId="0" fontId="23" fillId="0" borderId="15" xfId="10" applyFont="1" applyBorder="1" applyAlignment="1">
      <alignment horizontal="center" vertical="center" wrapText="1"/>
    </xf>
    <xf numFmtId="0" fontId="23" fillId="0" borderId="16" xfId="10" applyFont="1" applyBorder="1" applyAlignment="1">
      <alignment horizontal="center" vertical="center" wrapText="1"/>
    </xf>
    <xf numFmtId="0" fontId="31" fillId="0" borderId="13" xfId="1" applyFont="1" applyBorder="1" applyAlignment="1">
      <alignment horizontal="left" vertical="center" wrapText="1"/>
    </xf>
    <xf numFmtId="0" fontId="6" fillId="0" borderId="28" xfId="0" applyFont="1" applyBorder="1" applyAlignment="1"/>
    <xf numFmtId="0" fontId="6" fillId="0" borderId="29" xfId="0" applyFont="1" applyBorder="1" applyAlignment="1"/>
    <xf numFmtId="0" fontId="8" fillId="0" borderId="12" xfId="0" applyFont="1" applyBorder="1" applyAlignment="1">
      <alignment horizontal="center" wrapText="1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4">
    <cellStyle name="Excel Built-in Explanatory Text" xfId="9" xr:uid="{00000000-0005-0000-0000-000000000000}"/>
    <cellStyle name="Millares 2 2 3 2 2 2 2 2 2 2 2" xfId="5" xr:uid="{00000000-0005-0000-0000-000001000000}"/>
    <cellStyle name="Millares 2 2 3 4 2 2 2 2 2" xfId="8" xr:uid="{00000000-0005-0000-0000-000002000000}"/>
    <cellStyle name="Normal" xfId="0" builtinId="0"/>
    <cellStyle name="Normal 10 2" xfId="12" xr:uid="{00000000-0005-0000-0000-000004000000}"/>
    <cellStyle name="Normal 2 2" xfId="1" xr:uid="{00000000-0005-0000-0000-000005000000}"/>
    <cellStyle name="Normal 2 2 6 2" xfId="10" xr:uid="{00000000-0005-0000-0000-000006000000}"/>
    <cellStyle name="Normal 2 3" xfId="13" xr:uid="{00000000-0005-0000-0000-000007000000}"/>
    <cellStyle name="Normal 2 3 2 2" xfId="6" xr:uid="{00000000-0005-0000-0000-000008000000}"/>
    <cellStyle name="Normal 2 3 2 2 4" xfId="3" xr:uid="{00000000-0005-0000-0000-000009000000}"/>
    <cellStyle name="Normal 3 3 2" xfId="2" xr:uid="{00000000-0005-0000-0000-00000A000000}"/>
    <cellStyle name="Normal 3 3 2 5 2" xfId="11" xr:uid="{00000000-0005-0000-0000-00000B000000}"/>
    <cellStyle name="Normal 3 4" xfId="7" xr:uid="{00000000-0005-0000-0000-00000C000000}"/>
    <cellStyle name="Normal 3 4 2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67231</xdr:colOff>
      <xdr:row>14</xdr:row>
      <xdr:rowOff>419100</xdr:rowOff>
    </xdr:from>
    <xdr:to>
      <xdr:col>4</xdr:col>
      <xdr:colOff>3814515</xdr:colOff>
      <xdr:row>14</xdr:row>
      <xdr:rowOff>4351059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F4E82E-92BC-49D9-A999-BF0B3814B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0981" y="2057400"/>
          <a:ext cx="3747284" cy="3931959"/>
        </a:xfrm>
        <a:prstGeom prst="rect">
          <a:avLst/>
        </a:prstGeom>
      </xdr:spPr>
    </xdr:pic>
    <xdr:clientData/>
  </xdr:twoCellAnchor>
  <xdr:oneCellAnchor>
    <xdr:from>
      <xdr:col>4</xdr:col>
      <xdr:colOff>67231</xdr:colOff>
      <xdr:row>22</xdr:row>
      <xdr:rowOff>419100</xdr:rowOff>
    </xdr:from>
    <xdr:ext cx="3747284" cy="3931959"/>
    <xdr:pic>
      <xdr:nvPicPr>
        <xdr:cNvPr id="4" name="Imagen 3">
          <a:extLst>
            <a:ext uri="{FF2B5EF4-FFF2-40B4-BE49-F238E27FC236}">
              <a16:creationId xmlns:a16="http://schemas.microsoft.com/office/drawing/2014/main" id="{0408FDDE-2104-40FB-B767-B5180E3B7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974" y="2029946"/>
          <a:ext cx="3747284" cy="3931959"/>
        </a:xfrm>
        <a:prstGeom prst="rect">
          <a:avLst/>
        </a:prstGeom>
      </xdr:spPr>
    </xdr:pic>
    <xdr:clientData/>
  </xdr:oneCellAnchor>
  <xdr:oneCellAnchor>
    <xdr:from>
      <xdr:col>4</xdr:col>
      <xdr:colOff>67231</xdr:colOff>
      <xdr:row>9</xdr:row>
      <xdr:rowOff>419100</xdr:rowOff>
    </xdr:from>
    <xdr:ext cx="3747284" cy="3931959"/>
    <xdr:pic>
      <xdr:nvPicPr>
        <xdr:cNvPr id="5" name="Imagen 4">
          <a:extLst>
            <a:ext uri="{FF2B5EF4-FFF2-40B4-BE49-F238E27FC236}">
              <a16:creationId xmlns:a16="http://schemas.microsoft.com/office/drawing/2014/main" id="{52E5FD23-3491-4BF2-98EE-B337DA35D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974" y="3010460"/>
          <a:ext cx="3747284" cy="3931959"/>
        </a:xfrm>
        <a:prstGeom prst="rect">
          <a:avLst/>
        </a:prstGeom>
      </xdr:spPr>
    </xdr:pic>
    <xdr:clientData/>
  </xdr:oneCellAnchor>
  <xdr:oneCellAnchor>
    <xdr:from>
      <xdr:col>4</xdr:col>
      <xdr:colOff>109253</xdr:colOff>
      <xdr:row>4</xdr:row>
      <xdr:rowOff>237004</xdr:rowOff>
    </xdr:from>
    <xdr:ext cx="3747284" cy="3931959"/>
    <xdr:pic>
      <xdr:nvPicPr>
        <xdr:cNvPr id="6" name="Imagen 5">
          <a:extLst>
            <a:ext uri="{FF2B5EF4-FFF2-40B4-BE49-F238E27FC236}">
              <a16:creationId xmlns:a16="http://schemas.microsoft.com/office/drawing/2014/main" id="{6A49419E-2909-4469-8EBE-D27EEE552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6" y="1847850"/>
          <a:ext cx="3747284" cy="393195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109253</xdr:colOff>
      <xdr:row>4</xdr:row>
      <xdr:rowOff>237004</xdr:rowOff>
    </xdr:from>
    <xdr:ext cx="3747284" cy="3931959"/>
    <xdr:pic>
      <xdr:nvPicPr>
        <xdr:cNvPr id="5" name="Imagen 4">
          <a:extLst>
            <a:ext uri="{FF2B5EF4-FFF2-40B4-BE49-F238E27FC236}">
              <a16:creationId xmlns:a16="http://schemas.microsoft.com/office/drawing/2014/main" id="{74EA5E4E-A64E-46FA-A7B5-9D843153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3003" y="1846729"/>
          <a:ext cx="3747284" cy="3931959"/>
        </a:xfrm>
        <a:prstGeom prst="rect">
          <a:avLst/>
        </a:prstGeom>
      </xdr:spPr>
    </xdr:pic>
    <xdr:clientData/>
  </xdr:oneCellAnchor>
  <xdr:oneCellAnchor>
    <xdr:from>
      <xdr:col>4</xdr:col>
      <xdr:colOff>109253</xdr:colOff>
      <xdr:row>4</xdr:row>
      <xdr:rowOff>237004</xdr:rowOff>
    </xdr:from>
    <xdr:ext cx="3747284" cy="3931959"/>
    <xdr:pic>
      <xdr:nvPicPr>
        <xdr:cNvPr id="6" name="Imagen 5">
          <a:extLst>
            <a:ext uri="{FF2B5EF4-FFF2-40B4-BE49-F238E27FC236}">
              <a16:creationId xmlns:a16="http://schemas.microsoft.com/office/drawing/2014/main" id="{589290AE-398C-46F4-9F6D-4BCFB34A1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3003" y="1846729"/>
          <a:ext cx="3747284" cy="39319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3"/>
  <sheetViews>
    <sheetView topLeftCell="D1" zoomScale="68" zoomScaleNormal="68" workbookViewId="0">
      <selection activeCell="C5" sqref="C5"/>
    </sheetView>
  </sheetViews>
  <sheetFormatPr defaultColWidth="11.42578125" defaultRowHeight="15"/>
  <cols>
    <col min="1" max="2" width="11.42578125" style="52"/>
    <col min="4" max="4" width="15.7109375" customWidth="1"/>
    <col min="5" max="5" width="60.28515625" customWidth="1"/>
    <col min="7" max="7" width="25.5703125" customWidth="1"/>
    <col min="8" max="8" width="13.28515625" bestFit="1" customWidth="1"/>
    <col min="9" max="9" width="66.140625" customWidth="1"/>
    <col min="10" max="10" width="28.5703125" customWidth="1"/>
    <col min="11" max="12" width="22" customWidth="1"/>
    <col min="16" max="16" width="14.140625" bestFit="1" customWidth="1"/>
    <col min="17" max="17" width="18.85546875" bestFit="1" customWidth="1"/>
    <col min="18" max="18" width="12" bestFit="1" customWidth="1"/>
    <col min="19" max="19" width="18.42578125" bestFit="1" customWidth="1"/>
    <col min="20" max="20" width="14.140625" bestFit="1" customWidth="1"/>
    <col min="22" max="22" width="25.5703125" bestFit="1" customWidth="1"/>
    <col min="23" max="23" width="20.7109375" customWidth="1"/>
    <col min="24" max="24" width="24" customWidth="1"/>
    <col min="26" max="26" width="15.5703125" bestFit="1" customWidth="1"/>
    <col min="30" max="30" width="18.5703125" customWidth="1"/>
    <col min="31" max="31" width="18.140625" customWidth="1"/>
    <col min="32" max="32" width="15.85546875" bestFit="1" customWidth="1"/>
    <col min="34" max="34" width="22.28515625" customWidth="1"/>
  </cols>
  <sheetData>
    <row r="1" spans="1:47" ht="15.75" thickBot="1"/>
    <row r="2" spans="1:47" s="1" customFormat="1" ht="29.25" customHeight="1" thickBot="1">
      <c r="A2" s="53"/>
      <c r="B2" s="61" t="s">
        <v>0</v>
      </c>
      <c r="C2" s="70"/>
      <c r="D2" s="70"/>
      <c r="E2" s="70"/>
      <c r="F2" s="70"/>
      <c r="G2" s="70"/>
      <c r="H2" s="70"/>
      <c r="I2" s="70"/>
      <c r="J2" s="71"/>
      <c r="K2" s="72" t="s">
        <v>1</v>
      </c>
      <c r="L2" s="62" t="s">
        <v>2</v>
      </c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4"/>
    </row>
    <row r="3" spans="1:47" s="1" customFormat="1" ht="51.75" customHeight="1" thickBot="1">
      <c r="A3" s="53"/>
      <c r="B3" s="54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55" t="s">
        <v>8</v>
      </c>
      <c r="H3" s="55" t="s">
        <v>9</v>
      </c>
      <c r="I3" s="55" t="s">
        <v>10</v>
      </c>
      <c r="J3" s="56" t="s">
        <v>11</v>
      </c>
      <c r="K3" s="75"/>
      <c r="L3" s="2" t="s">
        <v>12</v>
      </c>
      <c r="M3" s="3" t="s">
        <v>13</v>
      </c>
      <c r="N3" s="3" t="s">
        <v>14</v>
      </c>
      <c r="O3" s="4" t="s">
        <v>15</v>
      </c>
      <c r="P3" s="5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7" t="s">
        <v>22</v>
      </c>
      <c r="W3" s="8" t="s">
        <v>23</v>
      </c>
      <c r="X3" s="4" t="s">
        <v>24</v>
      </c>
      <c r="Y3" s="9" t="s">
        <v>25</v>
      </c>
      <c r="Z3" s="10" t="s">
        <v>26</v>
      </c>
      <c r="AA3" s="10" t="s">
        <v>27</v>
      </c>
      <c r="AB3" s="11" t="s">
        <v>28</v>
      </c>
      <c r="AC3" s="10" t="s">
        <v>29</v>
      </c>
      <c r="AD3" s="12" t="s">
        <v>30</v>
      </c>
      <c r="AE3" s="8" t="s">
        <v>31</v>
      </c>
      <c r="AF3" s="8" t="s">
        <v>32</v>
      </c>
      <c r="AG3" s="13" t="s">
        <v>20</v>
      </c>
      <c r="AH3" s="15" t="s">
        <v>33</v>
      </c>
      <c r="AI3" s="15" t="s">
        <v>34</v>
      </c>
      <c r="AJ3" s="16" t="s">
        <v>35</v>
      </c>
      <c r="AM3" s="14" t="s">
        <v>36</v>
      </c>
      <c r="AN3" s="14" t="s">
        <v>37</v>
      </c>
      <c r="AO3" s="14" t="s">
        <v>38</v>
      </c>
      <c r="AP3" s="14" t="s">
        <v>39</v>
      </c>
      <c r="AQ3" s="14" t="s">
        <v>40</v>
      </c>
      <c r="AR3" s="14" t="s">
        <v>41</v>
      </c>
      <c r="AT3" s="17" t="s">
        <v>42</v>
      </c>
      <c r="AU3" s="18" t="s">
        <v>43</v>
      </c>
    </row>
    <row r="4" spans="1:47" s="27" customFormat="1" ht="30" customHeight="1" thickBot="1">
      <c r="A4"/>
      <c r="B4" s="63" t="s">
        <v>44</v>
      </c>
      <c r="C4" s="64"/>
      <c r="D4" s="64"/>
      <c r="E4" s="64"/>
      <c r="F4" s="64"/>
      <c r="G4" s="64"/>
      <c r="H4" s="64"/>
      <c r="I4" s="64"/>
      <c r="J4" s="65"/>
      <c r="K4" s="43"/>
      <c r="L4" s="44"/>
      <c r="M4" s="29"/>
      <c r="N4" s="45" t="s">
        <v>45</v>
      </c>
      <c r="O4" s="46"/>
      <c r="P4" s="19"/>
      <c r="Q4" s="21"/>
      <c r="R4" s="22"/>
      <c r="S4" s="30"/>
      <c r="T4" s="31"/>
      <c r="U4" s="21"/>
      <c r="V4" s="23"/>
      <c r="W4" s="20"/>
      <c r="X4" s="32"/>
      <c r="Y4" s="33"/>
      <c r="Z4" s="34"/>
      <c r="AA4" s="24"/>
      <c r="AB4" s="24"/>
      <c r="AC4" s="24"/>
      <c r="AD4" s="35"/>
      <c r="AE4" s="36"/>
      <c r="AF4" s="25"/>
      <c r="AG4" s="37"/>
      <c r="AH4" s="38"/>
      <c r="AI4" s="39"/>
      <c r="AJ4" s="40"/>
    </row>
    <row r="5" spans="1:47" s="27" customFormat="1" ht="355.5" customHeight="1">
      <c r="A5"/>
      <c r="B5" s="48">
        <v>1</v>
      </c>
      <c r="C5" s="66" t="s">
        <v>46</v>
      </c>
      <c r="D5" s="66"/>
      <c r="E5" s="49" t="s">
        <v>47</v>
      </c>
      <c r="F5" s="28">
        <v>500</v>
      </c>
      <c r="G5" s="26">
        <v>21.49</v>
      </c>
      <c r="H5" s="50" t="s">
        <v>48</v>
      </c>
      <c r="I5" s="47" t="s">
        <v>49</v>
      </c>
      <c r="J5" s="41">
        <f>F5*G5</f>
        <v>10745</v>
      </c>
      <c r="K5" s="26">
        <v>21.85</v>
      </c>
      <c r="L5" s="42" t="s">
        <v>50</v>
      </c>
      <c r="M5" s="29"/>
      <c r="N5" s="67" t="s">
        <v>51</v>
      </c>
      <c r="O5" s="68"/>
      <c r="P5" s="19">
        <f>16.5/1.18</f>
        <v>13.983050847457628</v>
      </c>
      <c r="Q5" s="58">
        <v>42</v>
      </c>
      <c r="R5" s="22">
        <f t="shared" ref="R5" si="0">P5*Q5/100</f>
        <v>5.8728813559322042</v>
      </c>
      <c r="S5" s="30">
        <f>R5*U5</f>
        <v>2936.4406779661022</v>
      </c>
      <c r="T5" s="31">
        <f t="shared" ref="T5" si="1">P5+R5</f>
        <v>19.855932203389834</v>
      </c>
      <c r="U5" s="21">
        <f t="shared" ref="U5" si="2">F5</f>
        <v>500</v>
      </c>
      <c r="V5" s="23">
        <f>P5*10</f>
        <v>139.83050847457628</v>
      </c>
      <c r="W5" s="20">
        <v>480</v>
      </c>
      <c r="X5" s="32">
        <f>U5*T5+V5+W5</f>
        <v>10547.796610169495</v>
      </c>
      <c r="Y5" s="33"/>
      <c r="Z5" s="34"/>
      <c r="AA5" s="24">
        <v>1</v>
      </c>
      <c r="AB5" s="24">
        <v>1</v>
      </c>
      <c r="AC5" s="24">
        <v>1</v>
      </c>
      <c r="AD5" s="35">
        <f>Z5*AA5*AB5*AC5</f>
        <v>0</v>
      </c>
      <c r="AE5" s="36">
        <v>30</v>
      </c>
      <c r="AF5" s="25">
        <f>1.5%*(X5+AD5+AE5)</f>
        <v>158.6669491525424</v>
      </c>
      <c r="AG5" s="37">
        <f t="shared" ref="AG5" si="3">X5+AD5+AF5+AE5</f>
        <v>10736.463559322037</v>
      </c>
      <c r="AH5" s="38">
        <f t="shared" ref="AH5" si="4">AG5/U5</f>
        <v>21.472927118644076</v>
      </c>
      <c r="AI5" s="39">
        <f>AH5*18%</f>
        <v>3.8651268813559336</v>
      </c>
      <c r="AJ5" s="40">
        <f t="shared" ref="AJ5" si="5">AH5+AI5</f>
        <v>25.33805400000001</v>
      </c>
    </row>
    <row r="6" spans="1:47" ht="15.75" thickBot="1">
      <c r="Q6" s="59">
        <f>S10-S5</f>
        <v>174.78813559321998</v>
      </c>
    </row>
    <row r="7" spans="1:47" s="1" customFormat="1" ht="29.25" customHeight="1" thickBot="1">
      <c r="A7" s="53"/>
      <c r="B7" s="61" t="s">
        <v>0</v>
      </c>
      <c r="C7" s="70"/>
      <c r="D7" s="70"/>
      <c r="E7" s="70"/>
      <c r="F7" s="70"/>
      <c r="G7" s="70"/>
      <c r="H7" s="70"/>
      <c r="I7" s="70"/>
      <c r="J7" s="71"/>
      <c r="K7" s="72" t="s">
        <v>1</v>
      </c>
      <c r="L7" s="62" t="s">
        <v>2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4"/>
    </row>
    <row r="8" spans="1:47" s="1" customFormat="1" ht="51.75" customHeight="1" thickBot="1">
      <c r="A8" s="53"/>
      <c r="B8" s="54" t="s">
        <v>3</v>
      </c>
      <c r="C8" s="55" t="s">
        <v>4</v>
      </c>
      <c r="D8" s="55" t="s">
        <v>5</v>
      </c>
      <c r="E8" s="55" t="s">
        <v>6</v>
      </c>
      <c r="F8" s="55" t="s">
        <v>7</v>
      </c>
      <c r="G8" s="55" t="s">
        <v>8</v>
      </c>
      <c r="H8" s="55" t="s">
        <v>9</v>
      </c>
      <c r="I8" s="55" t="s">
        <v>10</v>
      </c>
      <c r="J8" s="56" t="s">
        <v>11</v>
      </c>
      <c r="K8" s="75"/>
      <c r="L8" s="2" t="s">
        <v>12</v>
      </c>
      <c r="M8" s="3" t="s">
        <v>13</v>
      </c>
      <c r="N8" s="3" t="s">
        <v>14</v>
      </c>
      <c r="O8" s="4" t="s">
        <v>15</v>
      </c>
      <c r="P8" s="5" t="s">
        <v>16</v>
      </c>
      <c r="Q8" s="6" t="s">
        <v>17</v>
      </c>
      <c r="R8" s="6" t="s">
        <v>18</v>
      </c>
      <c r="S8" s="6" t="s">
        <v>19</v>
      </c>
      <c r="T8" s="6" t="s">
        <v>20</v>
      </c>
      <c r="U8" s="6" t="s">
        <v>21</v>
      </c>
      <c r="V8" s="7" t="s">
        <v>22</v>
      </c>
      <c r="W8" s="8" t="s">
        <v>23</v>
      </c>
      <c r="X8" s="4" t="s">
        <v>24</v>
      </c>
      <c r="Y8" s="9" t="s">
        <v>25</v>
      </c>
      <c r="Z8" s="10" t="s">
        <v>26</v>
      </c>
      <c r="AA8" s="10" t="s">
        <v>27</v>
      </c>
      <c r="AB8" s="11" t="s">
        <v>28</v>
      </c>
      <c r="AC8" s="10" t="s">
        <v>29</v>
      </c>
      <c r="AD8" s="12" t="s">
        <v>30</v>
      </c>
      <c r="AE8" s="8" t="s">
        <v>31</v>
      </c>
      <c r="AF8" s="8" t="s">
        <v>32</v>
      </c>
      <c r="AG8" s="13" t="s">
        <v>20</v>
      </c>
      <c r="AH8" s="15" t="s">
        <v>33</v>
      </c>
      <c r="AI8" s="15" t="s">
        <v>34</v>
      </c>
      <c r="AJ8" s="16" t="s">
        <v>35</v>
      </c>
      <c r="AM8" s="14" t="s">
        <v>36</v>
      </c>
      <c r="AN8" s="14" t="s">
        <v>37</v>
      </c>
      <c r="AO8" s="14" t="s">
        <v>38</v>
      </c>
      <c r="AP8" s="14" t="s">
        <v>39</v>
      </c>
      <c r="AQ8" s="14" t="s">
        <v>40</v>
      </c>
      <c r="AR8" s="14" t="s">
        <v>41</v>
      </c>
      <c r="AT8" s="17" t="s">
        <v>42</v>
      </c>
      <c r="AU8" s="18" t="s">
        <v>43</v>
      </c>
    </row>
    <row r="9" spans="1:47" s="27" customFormat="1" ht="30" customHeight="1" thickBot="1">
      <c r="A9"/>
      <c r="B9" s="63" t="s">
        <v>44</v>
      </c>
      <c r="C9" s="64"/>
      <c r="D9" s="64"/>
      <c r="E9" s="64"/>
      <c r="F9" s="64"/>
      <c r="G9" s="64"/>
      <c r="H9" s="64"/>
      <c r="I9" s="64"/>
      <c r="J9" s="65"/>
      <c r="K9" s="43"/>
      <c r="L9" s="44"/>
      <c r="M9" s="29"/>
      <c r="N9" s="45" t="s">
        <v>45</v>
      </c>
      <c r="O9" s="46"/>
      <c r="P9" s="19"/>
      <c r="Q9" s="21"/>
      <c r="R9" s="22"/>
      <c r="S9" s="30"/>
      <c r="T9" s="31"/>
      <c r="U9" s="21"/>
      <c r="V9" s="23"/>
      <c r="W9" s="20"/>
      <c r="X9" s="32"/>
      <c r="Y9" s="33"/>
      <c r="Z9" s="34"/>
      <c r="AA9" s="24"/>
      <c r="AB9" s="24"/>
      <c r="AC9" s="24"/>
      <c r="AD9" s="35"/>
      <c r="AE9" s="36"/>
      <c r="AF9" s="25"/>
      <c r="AG9" s="37"/>
      <c r="AH9" s="38"/>
      <c r="AI9" s="39"/>
      <c r="AJ9" s="40"/>
    </row>
    <row r="10" spans="1:47" s="27" customFormat="1" ht="409.5" customHeight="1">
      <c r="A10"/>
      <c r="B10" s="48">
        <v>1</v>
      </c>
      <c r="C10" s="66" t="s">
        <v>46</v>
      </c>
      <c r="D10" s="66"/>
      <c r="E10" s="49" t="s">
        <v>47</v>
      </c>
      <c r="F10" s="28">
        <v>500</v>
      </c>
      <c r="G10" s="26">
        <v>21.49</v>
      </c>
      <c r="H10" s="50" t="s">
        <v>48</v>
      </c>
      <c r="I10" s="47" t="s">
        <v>49</v>
      </c>
      <c r="J10" s="41">
        <f>F10*G10</f>
        <v>10745</v>
      </c>
      <c r="K10" s="26">
        <v>21.85</v>
      </c>
      <c r="L10" s="42" t="s">
        <v>50</v>
      </c>
      <c r="M10" s="29"/>
      <c r="N10" s="67" t="s">
        <v>51</v>
      </c>
      <c r="O10" s="68"/>
      <c r="P10" s="19">
        <f>16.5/1.18</f>
        <v>13.983050847457628</v>
      </c>
      <c r="Q10" s="58">
        <v>44.5</v>
      </c>
      <c r="R10" s="22">
        <f t="shared" ref="R10" si="6">P10*Q10/100</f>
        <v>6.2224576271186445</v>
      </c>
      <c r="S10" s="30">
        <f>R10*U10</f>
        <v>3111.2288135593221</v>
      </c>
      <c r="T10" s="31">
        <f t="shared" ref="T10" si="7">P10+R10</f>
        <v>20.205508474576273</v>
      </c>
      <c r="U10" s="21">
        <f t="shared" ref="U10" si="8">F10</f>
        <v>500</v>
      </c>
      <c r="V10" s="23">
        <f>P10*10</f>
        <v>139.83050847457628</v>
      </c>
      <c r="W10" s="20">
        <v>300</v>
      </c>
      <c r="X10" s="32">
        <f>U10*T10+V10+W10</f>
        <v>10542.584745762713</v>
      </c>
      <c r="Y10" s="33"/>
      <c r="Z10" s="34"/>
      <c r="AA10" s="24">
        <v>1</v>
      </c>
      <c r="AB10" s="24">
        <v>1</v>
      </c>
      <c r="AC10" s="24">
        <v>1</v>
      </c>
      <c r="AD10" s="35">
        <f>Z10*AA10*AB10*AC10</f>
        <v>0</v>
      </c>
      <c r="AE10" s="36">
        <v>30</v>
      </c>
      <c r="AF10" s="25">
        <f>1.5%*(X10+AD10+AE10)</f>
        <v>158.58877118644068</v>
      </c>
      <c r="AG10" s="37">
        <f t="shared" ref="AG10" si="9">X10+AD10+AF10+AE10</f>
        <v>10731.173516949155</v>
      </c>
      <c r="AH10" s="38">
        <f t="shared" ref="AH10" si="10">AG10/U10</f>
        <v>21.462347033898311</v>
      </c>
      <c r="AI10" s="39">
        <f>AH10*18%</f>
        <v>3.8632224661016958</v>
      </c>
      <c r="AJ10" s="40">
        <f t="shared" ref="AJ10" si="11">AH10+AI10</f>
        <v>25.325569500000007</v>
      </c>
    </row>
    <row r="11" spans="1:47" ht="15.75" thickBot="1">
      <c r="K11" s="57"/>
    </row>
    <row r="12" spans="1:47" s="1" customFormat="1" ht="29.25" customHeight="1" thickBot="1">
      <c r="A12" s="53"/>
      <c r="B12" s="61" t="s">
        <v>52</v>
      </c>
      <c r="C12" s="70"/>
      <c r="D12" s="70"/>
      <c r="E12" s="70"/>
      <c r="F12" s="70"/>
      <c r="G12" s="70"/>
      <c r="H12" s="70"/>
      <c r="I12" s="70"/>
      <c r="J12" s="71"/>
      <c r="K12" s="72" t="s">
        <v>1</v>
      </c>
      <c r="L12" s="62" t="s">
        <v>2</v>
      </c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4"/>
    </row>
    <row r="13" spans="1:47" s="1" customFormat="1" ht="51.75" customHeight="1" thickBot="1">
      <c r="A13" s="53"/>
      <c r="B13" s="54" t="s">
        <v>3</v>
      </c>
      <c r="C13" s="55" t="s">
        <v>4</v>
      </c>
      <c r="D13" s="55" t="s">
        <v>5</v>
      </c>
      <c r="E13" s="55" t="s">
        <v>6</v>
      </c>
      <c r="F13" s="55" t="s">
        <v>7</v>
      </c>
      <c r="G13" s="55" t="s">
        <v>8</v>
      </c>
      <c r="H13" s="55" t="s">
        <v>9</v>
      </c>
      <c r="I13" s="55" t="s">
        <v>10</v>
      </c>
      <c r="J13" s="56" t="s">
        <v>11</v>
      </c>
      <c r="K13" s="75"/>
      <c r="L13" s="2" t="s">
        <v>12</v>
      </c>
      <c r="M13" s="3" t="s">
        <v>13</v>
      </c>
      <c r="N13" s="3" t="s">
        <v>14</v>
      </c>
      <c r="O13" s="4" t="s">
        <v>15</v>
      </c>
      <c r="P13" s="5" t="s">
        <v>16</v>
      </c>
      <c r="Q13" s="6" t="s">
        <v>17</v>
      </c>
      <c r="R13" s="6" t="s">
        <v>18</v>
      </c>
      <c r="S13" s="6" t="s">
        <v>19</v>
      </c>
      <c r="T13" s="6" t="s">
        <v>20</v>
      </c>
      <c r="U13" s="6" t="s">
        <v>21</v>
      </c>
      <c r="V13" s="7" t="s">
        <v>22</v>
      </c>
      <c r="W13" s="8" t="s">
        <v>23</v>
      </c>
      <c r="X13" s="4" t="s">
        <v>24</v>
      </c>
      <c r="Y13" s="9" t="s">
        <v>25</v>
      </c>
      <c r="Z13" s="10" t="s">
        <v>26</v>
      </c>
      <c r="AA13" s="10" t="s">
        <v>27</v>
      </c>
      <c r="AB13" s="11" t="s">
        <v>28</v>
      </c>
      <c r="AC13" s="10" t="s">
        <v>29</v>
      </c>
      <c r="AD13" s="12" t="s">
        <v>30</v>
      </c>
      <c r="AE13" s="8" t="s">
        <v>31</v>
      </c>
      <c r="AF13" s="8" t="s">
        <v>32</v>
      </c>
      <c r="AG13" s="13" t="s">
        <v>20</v>
      </c>
      <c r="AH13" s="15" t="s">
        <v>33</v>
      </c>
      <c r="AI13" s="15" t="s">
        <v>34</v>
      </c>
      <c r="AJ13" s="16" t="s">
        <v>35</v>
      </c>
      <c r="AM13" s="14" t="s">
        <v>36</v>
      </c>
      <c r="AN13" s="14" t="s">
        <v>37</v>
      </c>
      <c r="AO13" s="14" t="s">
        <v>38</v>
      </c>
      <c r="AP13" s="14" t="s">
        <v>39</v>
      </c>
      <c r="AQ13" s="14" t="s">
        <v>40</v>
      </c>
      <c r="AR13" s="14" t="s">
        <v>41</v>
      </c>
      <c r="AT13" s="17" t="s">
        <v>42</v>
      </c>
      <c r="AU13" s="18" t="s">
        <v>43</v>
      </c>
    </row>
    <row r="14" spans="1:47" s="27" customFormat="1" ht="30" customHeight="1" thickBot="1">
      <c r="A14"/>
      <c r="B14" s="63" t="s">
        <v>44</v>
      </c>
      <c r="C14" s="64"/>
      <c r="D14" s="64"/>
      <c r="E14" s="64"/>
      <c r="F14" s="64"/>
      <c r="G14" s="64"/>
      <c r="H14" s="64"/>
      <c r="I14" s="64"/>
      <c r="J14" s="65"/>
      <c r="K14" s="43"/>
      <c r="L14" s="44">
        <f>3186/240</f>
        <v>13.275</v>
      </c>
      <c r="M14" s="29"/>
      <c r="N14" s="45"/>
      <c r="O14" s="46"/>
      <c r="P14" s="19"/>
      <c r="Q14" s="21"/>
      <c r="R14" s="22"/>
      <c r="S14" s="30"/>
      <c r="T14" s="31"/>
      <c r="U14" s="21"/>
      <c r="V14" s="23"/>
      <c r="W14" s="20"/>
      <c r="X14" s="32"/>
      <c r="Y14" s="33"/>
      <c r="Z14" s="34"/>
      <c r="AA14" s="24"/>
      <c r="AB14" s="24"/>
      <c r="AC14" s="24"/>
      <c r="AD14" s="35"/>
      <c r="AE14" s="36"/>
      <c r="AF14" s="25"/>
      <c r="AG14" s="37"/>
      <c r="AH14" s="38"/>
      <c r="AI14" s="39"/>
      <c r="AJ14" s="40"/>
    </row>
    <row r="15" spans="1:47" s="27" customFormat="1" ht="409.5" customHeight="1">
      <c r="A15"/>
      <c r="B15" s="48">
        <v>1</v>
      </c>
      <c r="C15" s="66" t="s">
        <v>46</v>
      </c>
      <c r="D15" s="66"/>
      <c r="E15" s="49" t="s">
        <v>47</v>
      </c>
      <c r="F15" s="28">
        <v>250</v>
      </c>
      <c r="G15" s="26">
        <v>21.85</v>
      </c>
      <c r="H15" s="50" t="s">
        <v>53</v>
      </c>
      <c r="I15" s="47" t="s">
        <v>49</v>
      </c>
      <c r="J15" s="41">
        <f>F15*G15</f>
        <v>5462.5</v>
      </c>
      <c r="K15" s="51" t="s">
        <v>54</v>
      </c>
      <c r="L15" s="42" t="s">
        <v>50</v>
      </c>
      <c r="M15" s="29"/>
      <c r="N15" s="67" t="s">
        <v>55</v>
      </c>
      <c r="O15" s="68"/>
      <c r="P15" s="19">
        <f>16.5/1.18</f>
        <v>13.983050847457628</v>
      </c>
      <c r="Q15" s="21">
        <v>46.5</v>
      </c>
      <c r="R15" s="22">
        <f t="shared" ref="R15" si="12">P15*Q15/100</f>
        <v>6.5021186440677967</v>
      </c>
      <c r="S15" s="30">
        <f>R15*U15</f>
        <v>1625.5296610169491</v>
      </c>
      <c r="T15" s="31">
        <f t="shared" ref="T15" si="13">P15+R15</f>
        <v>20.485169491525426</v>
      </c>
      <c r="U15" s="21">
        <f t="shared" ref="U15" si="14">F15</f>
        <v>250</v>
      </c>
      <c r="V15" s="23">
        <f>P15*5</f>
        <v>69.915254237288138</v>
      </c>
      <c r="W15" s="20">
        <f>100+30</f>
        <v>130</v>
      </c>
      <c r="X15" s="32">
        <f>U15*T15+V15+W15</f>
        <v>5321.2076271186452</v>
      </c>
      <c r="Y15" s="33"/>
      <c r="Z15" s="34"/>
      <c r="AA15" s="24">
        <v>1</v>
      </c>
      <c r="AB15" s="24">
        <v>1</v>
      </c>
      <c r="AC15" s="24">
        <v>1</v>
      </c>
      <c r="AD15" s="35">
        <f>Z15*AA15*AB15*AC15</f>
        <v>0</v>
      </c>
      <c r="AE15" s="36">
        <v>30</v>
      </c>
      <c r="AF15" s="25">
        <f>2%*(X15+AD15+AE15)</f>
        <v>107.0241525423729</v>
      </c>
      <c r="AG15" s="37">
        <f t="shared" ref="AG15" si="15">X15+AD15+AF15+AE15</f>
        <v>5458.2317796610178</v>
      </c>
      <c r="AH15" s="38">
        <f t="shared" ref="AH15" si="16">AG15/U15</f>
        <v>21.832927118644072</v>
      </c>
      <c r="AI15" s="39">
        <f>AH15*18%</f>
        <v>3.9299268813559327</v>
      </c>
      <c r="AJ15" s="40">
        <f t="shared" ref="AJ15" si="17">AH15+AI15</f>
        <v>25.762854000000004</v>
      </c>
    </row>
    <row r="22" spans="1:36" ht="17.25" customHeight="1" thickBot="1"/>
    <row r="23" spans="1:36" s="27" customFormat="1" ht="409.5" customHeight="1">
      <c r="A23"/>
      <c r="B23" s="48">
        <v>1</v>
      </c>
      <c r="C23" s="66" t="s">
        <v>46</v>
      </c>
      <c r="D23" s="66"/>
      <c r="E23" s="49" t="s">
        <v>47</v>
      </c>
      <c r="F23" s="28">
        <v>250</v>
      </c>
      <c r="G23" s="26">
        <v>21.85</v>
      </c>
      <c r="H23" s="50" t="s">
        <v>53</v>
      </c>
      <c r="I23" s="47" t="s">
        <v>49</v>
      </c>
      <c r="J23" s="41">
        <f>F23*G23</f>
        <v>5462.5</v>
      </c>
      <c r="K23" s="51" t="s">
        <v>54</v>
      </c>
      <c r="L23" s="42" t="s">
        <v>50</v>
      </c>
      <c r="M23" s="29"/>
      <c r="N23" s="67" t="s">
        <v>55</v>
      </c>
      <c r="O23" s="68"/>
      <c r="P23" s="19">
        <f>16.5/1.18</f>
        <v>13.983050847457628</v>
      </c>
      <c r="Q23" s="21">
        <v>44.5</v>
      </c>
      <c r="R23" s="22">
        <f t="shared" ref="R23" si="18">P23*Q23/100</f>
        <v>6.2224576271186445</v>
      </c>
      <c r="S23" s="30">
        <f>R23*U23</f>
        <v>1555.6144067796611</v>
      </c>
      <c r="T23" s="31">
        <f t="shared" ref="T23" si="19">P23+R23</f>
        <v>20.205508474576273</v>
      </c>
      <c r="U23" s="21">
        <f t="shared" ref="U23" si="20">F23</f>
        <v>250</v>
      </c>
      <c r="V23" s="23">
        <f>P23*10</f>
        <v>139.83050847457628</v>
      </c>
      <c r="W23" s="20">
        <f>100+30</f>
        <v>130</v>
      </c>
      <c r="X23" s="32">
        <f>U23*T23+V23+W23</f>
        <v>5321.2076271186443</v>
      </c>
      <c r="Y23" s="33"/>
      <c r="Z23" s="34"/>
      <c r="AA23" s="24">
        <v>1</v>
      </c>
      <c r="AB23" s="24">
        <v>1</v>
      </c>
      <c r="AC23" s="24">
        <v>1</v>
      </c>
      <c r="AD23" s="35">
        <f>Z23*AA23*AB23*AC23</f>
        <v>0</v>
      </c>
      <c r="AE23" s="36">
        <v>30</v>
      </c>
      <c r="AF23" s="25">
        <f>2%*(X23+AD23+AE23)</f>
        <v>107.02415254237289</v>
      </c>
      <c r="AG23" s="37">
        <f t="shared" ref="AG23" si="21">X23+AD23+AF23+AE23</f>
        <v>5458.2317796610168</v>
      </c>
      <c r="AH23" s="38">
        <f t="shared" ref="AH23" si="22">AG23/U23</f>
        <v>21.832927118644069</v>
      </c>
      <c r="AI23" s="39">
        <f>AH23*18%</f>
        <v>3.9299268813559323</v>
      </c>
      <c r="AJ23" s="40">
        <f t="shared" ref="AJ23" si="23">AH23+AI23</f>
        <v>25.762854000000001</v>
      </c>
    </row>
  </sheetData>
  <mergeCells count="20">
    <mergeCell ref="B2:J2"/>
    <mergeCell ref="K2:K3"/>
    <mergeCell ref="L2:AB2"/>
    <mergeCell ref="B4:J4"/>
    <mergeCell ref="C5:D5"/>
    <mergeCell ref="N5:O5"/>
    <mergeCell ref="B7:J7"/>
    <mergeCell ref="K7:K8"/>
    <mergeCell ref="L7:AB7"/>
    <mergeCell ref="B9:J9"/>
    <mergeCell ref="C10:D10"/>
    <mergeCell ref="N10:O10"/>
    <mergeCell ref="C23:D23"/>
    <mergeCell ref="N23:O23"/>
    <mergeCell ref="B12:J12"/>
    <mergeCell ref="K12:K13"/>
    <mergeCell ref="L12:AB12"/>
    <mergeCell ref="B14:J14"/>
    <mergeCell ref="C15:D15"/>
    <mergeCell ref="N15:O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DAB5-0138-474A-B86C-304522291B42}">
  <dimension ref="A1:AU6"/>
  <sheetViews>
    <sheetView tabSelected="1" zoomScale="68" zoomScaleNormal="68" workbookViewId="0">
      <selection activeCell="I5" sqref="I5"/>
    </sheetView>
  </sheetViews>
  <sheetFormatPr defaultColWidth="11.42578125" defaultRowHeight="15"/>
  <cols>
    <col min="1" max="2" width="11.42578125" style="52"/>
    <col min="4" max="4" width="15.7109375" customWidth="1"/>
    <col min="5" max="5" width="60.28515625" customWidth="1"/>
    <col min="7" max="7" width="25.5703125" customWidth="1"/>
    <col min="8" max="8" width="14.28515625" customWidth="1"/>
    <col min="9" max="9" width="66.140625" customWidth="1"/>
    <col min="10" max="10" width="28.5703125" customWidth="1"/>
    <col min="11" max="12" width="22" customWidth="1"/>
    <col min="16" max="16" width="14.140625" bestFit="1" customWidth="1"/>
    <col min="17" max="17" width="18.85546875" bestFit="1" customWidth="1"/>
    <col min="18" max="18" width="12" bestFit="1" customWidth="1"/>
    <col min="19" max="19" width="18.42578125" bestFit="1" customWidth="1"/>
    <col min="20" max="20" width="14.140625" bestFit="1" customWidth="1"/>
    <col min="22" max="22" width="25.5703125" bestFit="1" customWidth="1"/>
    <col min="23" max="23" width="20.7109375" customWidth="1"/>
    <col min="24" max="24" width="24" customWidth="1"/>
    <col min="26" max="26" width="15.5703125" bestFit="1" customWidth="1"/>
    <col min="30" max="30" width="18.5703125" customWidth="1"/>
    <col min="31" max="31" width="18.140625" customWidth="1"/>
    <col min="32" max="32" width="15.85546875" bestFit="1" customWidth="1"/>
    <col min="34" max="34" width="22.28515625" customWidth="1"/>
  </cols>
  <sheetData>
    <row r="1" spans="1:47" ht="15.75" thickBot="1"/>
    <row r="2" spans="1:47" s="1" customFormat="1" ht="29.25" customHeight="1" thickBot="1">
      <c r="A2" s="53"/>
      <c r="B2" s="61" t="s">
        <v>56</v>
      </c>
      <c r="C2" s="70"/>
      <c r="D2" s="70"/>
      <c r="E2" s="70"/>
      <c r="F2" s="70"/>
      <c r="G2" s="70"/>
      <c r="H2" s="70"/>
      <c r="I2" s="70"/>
      <c r="J2" s="71"/>
      <c r="K2" s="72" t="s">
        <v>1</v>
      </c>
      <c r="L2" s="62" t="s">
        <v>2</v>
      </c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4"/>
    </row>
    <row r="3" spans="1:47" s="1" customFormat="1" ht="51.75" customHeight="1" thickBot="1">
      <c r="A3" s="53"/>
      <c r="B3" s="54" t="s">
        <v>3</v>
      </c>
      <c r="C3" s="55" t="s">
        <v>4</v>
      </c>
      <c r="D3" s="55" t="s">
        <v>5</v>
      </c>
      <c r="E3" s="55" t="s">
        <v>6</v>
      </c>
      <c r="F3" s="55" t="s">
        <v>7</v>
      </c>
      <c r="G3" s="55" t="s">
        <v>8</v>
      </c>
      <c r="H3" s="55" t="s">
        <v>9</v>
      </c>
      <c r="I3" s="55" t="s">
        <v>10</v>
      </c>
      <c r="J3" s="56" t="s">
        <v>11</v>
      </c>
      <c r="K3" s="75"/>
      <c r="L3" s="2" t="s">
        <v>12</v>
      </c>
      <c r="M3" s="3" t="s">
        <v>13</v>
      </c>
      <c r="N3" s="3" t="s">
        <v>14</v>
      </c>
      <c r="O3" s="4" t="s">
        <v>15</v>
      </c>
      <c r="P3" s="5" t="s">
        <v>16</v>
      </c>
      <c r="Q3" s="6" t="s">
        <v>17</v>
      </c>
      <c r="R3" s="6" t="s">
        <v>18</v>
      </c>
      <c r="S3" s="6" t="s">
        <v>19</v>
      </c>
      <c r="T3" s="6" t="s">
        <v>20</v>
      </c>
      <c r="U3" s="6" t="s">
        <v>21</v>
      </c>
      <c r="V3" s="7" t="s">
        <v>22</v>
      </c>
      <c r="W3" s="8" t="s">
        <v>23</v>
      </c>
      <c r="X3" s="4" t="s">
        <v>24</v>
      </c>
      <c r="Y3" s="9" t="s">
        <v>25</v>
      </c>
      <c r="Z3" s="10" t="s">
        <v>26</v>
      </c>
      <c r="AA3" s="10" t="s">
        <v>27</v>
      </c>
      <c r="AB3" s="11" t="s">
        <v>28</v>
      </c>
      <c r="AC3" s="10" t="s">
        <v>29</v>
      </c>
      <c r="AD3" s="12" t="s">
        <v>30</v>
      </c>
      <c r="AE3" s="8" t="s">
        <v>31</v>
      </c>
      <c r="AF3" s="8" t="s">
        <v>32</v>
      </c>
      <c r="AG3" s="13" t="s">
        <v>20</v>
      </c>
      <c r="AH3" s="15" t="s">
        <v>33</v>
      </c>
      <c r="AI3" s="15" t="s">
        <v>34</v>
      </c>
      <c r="AJ3" s="16" t="s">
        <v>35</v>
      </c>
      <c r="AM3" s="14" t="s">
        <v>36</v>
      </c>
      <c r="AN3" s="14" t="s">
        <v>37</v>
      </c>
      <c r="AO3" s="14" t="s">
        <v>38</v>
      </c>
      <c r="AP3" s="14" t="s">
        <v>39</v>
      </c>
      <c r="AQ3" s="14" t="s">
        <v>40</v>
      </c>
      <c r="AR3" s="14" t="s">
        <v>41</v>
      </c>
      <c r="AT3" s="17" t="s">
        <v>42</v>
      </c>
      <c r="AU3" s="18" t="s">
        <v>43</v>
      </c>
    </row>
    <row r="4" spans="1:47" s="27" customFormat="1" ht="30" customHeight="1" thickBot="1">
      <c r="A4"/>
      <c r="B4" s="63" t="s">
        <v>44</v>
      </c>
      <c r="C4" s="64"/>
      <c r="D4" s="64"/>
      <c r="E4" s="64"/>
      <c r="F4" s="64"/>
      <c r="G4" s="64"/>
      <c r="H4" s="64"/>
      <c r="I4" s="64"/>
      <c r="J4" s="65"/>
      <c r="K4" s="43"/>
      <c r="L4" s="44"/>
      <c r="M4" s="29"/>
      <c r="N4" s="45" t="s">
        <v>45</v>
      </c>
      <c r="O4" s="46"/>
      <c r="P4" s="19"/>
      <c r="Q4" s="21"/>
      <c r="R4" s="22"/>
      <c r="S4" s="30"/>
      <c r="T4" s="31"/>
      <c r="U4" s="21"/>
      <c r="V4" s="23"/>
      <c r="W4" s="20"/>
      <c r="X4" s="32"/>
      <c r="Y4" s="33"/>
      <c r="Z4" s="34"/>
      <c r="AA4" s="24"/>
      <c r="AB4" s="24"/>
      <c r="AC4" s="24"/>
      <c r="AD4" s="35"/>
      <c r="AE4" s="36"/>
      <c r="AF4" s="25"/>
      <c r="AG4" s="37"/>
      <c r="AH4" s="38"/>
      <c r="AI4" s="39"/>
      <c r="AJ4" s="40"/>
    </row>
    <row r="5" spans="1:47" s="27" customFormat="1" ht="355.5" customHeight="1">
      <c r="A5"/>
      <c r="B5" s="48">
        <v>1</v>
      </c>
      <c r="C5" s="66" t="s">
        <v>46</v>
      </c>
      <c r="D5" s="66"/>
      <c r="E5" s="49" t="s">
        <v>47</v>
      </c>
      <c r="F5" s="28">
        <v>500</v>
      </c>
      <c r="G5" s="26">
        <v>21.49</v>
      </c>
      <c r="H5" s="50" t="s">
        <v>57</v>
      </c>
      <c r="I5" s="69" t="s">
        <v>58</v>
      </c>
      <c r="J5" s="41">
        <f>F5*G5</f>
        <v>10745</v>
      </c>
      <c r="K5" s="26">
        <v>21.85</v>
      </c>
      <c r="L5" s="42" t="s">
        <v>50</v>
      </c>
      <c r="M5" s="29"/>
      <c r="N5" s="67" t="s">
        <v>59</v>
      </c>
      <c r="O5" s="68"/>
      <c r="P5" s="19">
        <f>16.5/1.18</f>
        <v>13.983050847457628</v>
      </c>
      <c r="Q5" s="58">
        <v>42</v>
      </c>
      <c r="R5" s="22">
        <f t="shared" ref="R5" si="0">P5*Q5/100</f>
        <v>5.8728813559322042</v>
      </c>
      <c r="S5" s="30">
        <f>R5*U5</f>
        <v>2936.4406779661022</v>
      </c>
      <c r="T5" s="31">
        <f t="shared" ref="T5" si="1">P5+R5</f>
        <v>19.855932203389834</v>
      </c>
      <c r="U5" s="21">
        <f t="shared" ref="U5" si="2">F5</f>
        <v>500</v>
      </c>
      <c r="V5" s="23">
        <f>P5*10</f>
        <v>139.83050847457628</v>
      </c>
      <c r="W5" s="20">
        <v>450</v>
      </c>
      <c r="X5" s="32">
        <f>U5*T5+V5+W5</f>
        <v>10517.796610169495</v>
      </c>
      <c r="Y5" s="33"/>
      <c r="Z5" s="34"/>
      <c r="AA5" s="24">
        <v>1</v>
      </c>
      <c r="AB5" s="24">
        <v>1</v>
      </c>
      <c r="AC5" s="24">
        <v>1</v>
      </c>
      <c r="AD5" s="35">
        <f>Z5*AA5*AB5*AC5</f>
        <v>0</v>
      </c>
      <c r="AE5" s="36">
        <v>40</v>
      </c>
      <c r="AF5" s="25">
        <f>1.5%*(X5+AD5+AE5)</f>
        <v>158.36694915254242</v>
      </c>
      <c r="AG5" s="37">
        <f t="shared" ref="AG5" si="3">X5+AD5+AF5+AE5</f>
        <v>10716.163559322036</v>
      </c>
      <c r="AH5" s="38">
        <f t="shared" ref="AH5" si="4">AG5/U5</f>
        <v>21.432327118644071</v>
      </c>
      <c r="AI5" s="39">
        <f>AH5*18%</f>
        <v>3.8578188813559326</v>
      </c>
      <c r="AJ5" s="40">
        <f t="shared" ref="AJ5" si="5">AH5+AI5</f>
        <v>25.290146000000004</v>
      </c>
    </row>
    <row r="6" spans="1:47" ht="21">
      <c r="B6" s="60" t="s">
        <v>60</v>
      </c>
      <c r="C6" s="60"/>
      <c r="D6" s="60"/>
      <c r="E6" s="60"/>
      <c r="F6" s="60"/>
      <c r="G6" s="60"/>
      <c r="H6" s="60"/>
      <c r="I6" s="60"/>
      <c r="J6" s="60"/>
    </row>
  </sheetData>
  <mergeCells count="7">
    <mergeCell ref="B6:J6"/>
    <mergeCell ref="B2:J2"/>
    <mergeCell ref="K2:K3"/>
    <mergeCell ref="L2:AB2"/>
    <mergeCell ref="B4:J4"/>
    <mergeCell ref="C5:D5"/>
    <mergeCell ref="N5:O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Karina</dc:creator>
  <cp:keywords/>
  <dc:description/>
  <cp:lastModifiedBy>Karla Huamaccto</cp:lastModifiedBy>
  <cp:revision/>
  <dcterms:created xsi:type="dcterms:W3CDTF">2011-11-23T22:23:44Z</dcterms:created>
  <dcterms:modified xsi:type="dcterms:W3CDTF">2026-05-27T14:55:01Z</dcterms:modified>
  <cp:category/>
  <cp:contentStatus/>
</cp:coreProperties>
</file>