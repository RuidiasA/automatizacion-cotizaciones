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a6e6ee203775ab/ÁREA COMERCIAL/COMPIPRO/CLIENTES/Cotizados/GEOBRUGG/BD Cotizaciones/2026/"/>
    </mc:Choice>
  </mc:AlternateContent>
  <xr:revisionPtr revIDLastSave="148" documentId="8_{5BD2846B-3BEF-4092-A62D-A2633FCB0B43}" xr6:coauthVersionLast="47" xr6:coauthVersionMax="47" xr10:uidLastSave="{DA6F4FE2-8066-409B-BCCE-6CEE3441B3DE}"/>
  <bookViews>
    <workbookView xWindow="-120" yWindow="-120" windowWidth="29040" windowHeight="15720" xr2:uid="{AA61F2E9-9FD4-4EAE-81BD-ED5E8706FB96}"/>
  </bookViews>
  <sheets>
    <sheet name="JUNIO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5" l="1"/>
  <c r="W4" i="5" s="1"/>
  <c r="AF4" i="5"/>
  <c r="X4" i="5"/>
  <c r="AE4" i="5"/>
  <c r="V4" i="5"/>
  <c r="J4" i="5"/>
  <c r="Q10" i="5"/>
  <c r="W10" i="5" s="1"/>
  <c r="Q11" i="5"/>
  <c r="W11" i="5" s="1"/>
  <c r="X11" i="5"/>
  <c r="AE11" i="5"/>
  <c r="V11" i="5"/>
  <c r="AF11" i="5" s="1"/>
  <c r="S4" i="5" l="1"/>
  <c r="T4" i="5" s="1"/>
  <c r="L4" i="5" s="1"/>
  <c r="S11" i="5"/>
  <c r="T11" i="5" s="1"/>
  <c r="AF10" i="5"/>
  <c r="Q9" i="5"/>
  <c r="W9" i="5" s="1"/>
  <c r="AE10" i="5"/>
  <c r="V10" i="5"/>
  <c r="AE9" i="5"/>
  <c r="V9" i="5"/>
  <c r="Q8" i="5"/>
  <c r="W8" i="5" s="1"/>
  <c r="AA8" i="5"/>
  <c r="AE8" i="5" s="1"/>
  <c r="X8" i="5"/>
  <c r="V8" i="5"/>
  <c r="AF8" i="5" s="1"/>
  <c r="J8" i="5"/>
  <c r="U4" i="5" l="1"/>
  <c r="Y4" i="5" s="1"/>
  <c r="U11" i="5"/>
  <c r="Y11" i="5" s="1"/>
  <c r="S10" i="5"/>
  <c r="T10" i="5" s="1"/>
  <c r="S9" i="5"/>
  <c r="T9" i="5" s="1"/>
  <c r="S8" i="5"/>
  <c r="T8" i="5" s="1"/>
  <c r="L8" i="5" s="1"/>
  <c r="AG4" i="5" l="1"/>
  <c r="AH4" i="5" s="1"/>
  <c r="AI4" i="5" s="1"/>
  <c r="AG11" i="5"/>
  <c r="AH11" i="5" s="1"/>
  <c r="AI11" i="5" s="1"/>
  <c r="U10" i="5"/>
  <c r="Y10" i="5" s="1"/>
  <c r="U9" i="5"/>
  <c r="Y9" i="5" s="1"/>
  <c r="U8" i="5"/>
  <c r="Y8" i="5" s="1"/>
  <c r="AG8" i="5" s="1"/>
  <c r="AH8" i="5" s="1"/>
  <c r="AI8" i="5" s="1"/>
  <c r="AJ4" i="5" l="1"/>
  <c r="AK4" i="5" s="1"/>
  <c r="AJ11" i="5"/>
  <c r="AK11" i="5" s="1"/>
  <c r="J11" i="5"/>
  <c r="L11" i="5" s="1"/>
  <c r="AG10" i="5"/>
  <c r="AH10" i="5" s="1"/>
  <c r="AI10" i="5" s="1"/>
  <c r="J10" i="5" s="1"/>
  <c r="L10" i="5" s="1"/>
  <c r="AG9" i="5"/>
  <c r="AH9" i="5" s="1"/>
  <c r="AI9" i="5" s="1"/>
  <c r="J9" i="5" s="1"/>
  <c r="L9" i="5" s="1"/>
  <c r="AJ8" i="5"/>
  <c r="AK8" i="5" s="1"/>
  <c r="AJ10" i="5" l="1"/>
  <c r="AK10" i="5" s="1"/>
  <c r="AJ9" i="5"/>
  <c r="AK9" i="5" s="1"/>
</calcChain>
</file>

<file path=xl/sharedStrings.xml><?xml version="1.0" encoding="utf-8"?>
<sst xmlns="http://schemas.openxmlformats.org/spreadsheetml/2006/main" count="101" uniqueCount="61">
  <si>
    <t>Cód. Artíc.</t>
  </si>
  <si>
    <t>Art.</t>
  </si>
  <si>
    <t>Foto</t>
  </si>
  <si>
    <t>Cant.</t>
  </si>
  <si>
    <t>Costo Uni.
NO. IGV(S/.)</t>
  </si>
  <si>
    <t xml:space="preserve">Tiempo Entrega </t>
  </si>
  <si>
    <t>Detalle</t>
  </si>
  <si>
    <t>Costo TOTAL
NO. IGV (S/.)</t>
  </si>
  <si>
    <t>proveedor</t>
  </si>
  <si>
    <t>Cod. Prod. Prov.</t>
  </si>
  <si>
    <t>Obseraciones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</si>
  <si>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</si>
  <si>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</si>
  <si>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</si>
  <si>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</si>
  <si>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</si>
  <si>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</si>
  <si>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</si>
  <si>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</si>
  <si>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</si>
  <si>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</si>
  <si>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</si>
  <si>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</si>
  <si>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</si>
  <si>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</si>
  <si>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</si>
  <si>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</si>
  <si>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</si>
  <si>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</si>
  <si>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</si>
  <si>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</si>
  <si>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</si>
  <si>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Imagen referencial</t>
  </si>
  <si>
    <t xml:space="preserve">R-5999
/
BF101
</t>
  </si>
  <si>
    <t>EYF  
1000 UND - 500 UND s/ 8000
100 UND - 50 UND s/ 820
+IGV
/
CHIPER 
1000 UND - 500 UND s/ 8500
mas de 100 UND  s/ 880
Incluye IGV</t>
  </si>
  <si>
    <t>TAMPOGRAFIA AMERICANA
1000 a S/.450
500 a S/.350
100 a S/.70</t>
  </si>
  <si>
    <t>COHP-BF101</t>
  </si>
  <si>
    <t>5 a 7 Dïas útiles</t>
  </si>
  <si>
    <t>PORTAPOST
 IT CUBO</t>
  </si>
  <si>
    <t>N°</t>
  </si>
  <si>
    <t xml:space="preserve">CHIPER
</t>
  </si>
  <si>
    <t>STICKER PARA CAJA</t>
  </si>
  <si>
    <t>CAJA PERSONALIZADA</t>
  </si>
  <si>
    <t>ANDRES RED FLOWERS</t>
  </si>
  <si>
    <r>
      <rPr>
        <b/>
        <u/>
        <sz val="16"/>
        <rFont val="Arial"/>
        <family val="2"/>
      </rPr>
      <t>PORTAPOST IT CUBO</t>
    </r>
    <r>
      <rPr>
        <sz val="16"/>
        <rFont val="Arial"/>
        <family val="2"/>
      </rPr>
      <t xml:space="preserve">
Medidas: 9 x 9 x 9cm, 2mm cubierta (Aprox.) 
 Descripción: Cubo ecológico, 500 hojas notas 5C, 50 hojas de notas adhesivas amarillas, 25 hojas 5C banderas adhesivas. Colores: Natural, negro, rojo, azul.
Presentación: Caja individual
</t>
    </r>
    <r>
      <rPr>
        <b/>
        <sz val="16"/>
        <color rgb="FFFF0000"/>
        <rFont val="Arial"/>
        <family val="2"/>
      </rPr>
      <t>*Incluye logo a 1 color o full color a un lado.
*Diseño o arte facilitado por el cliente</t>
    </r>
  </si>
  <si>
    <r>
      <rPr>
        <b/>
        <u/>
        <sz val="16"/>
        <rFont val="Arial"/>
        <family val="2"/>
      </rPr>
      <t>STICKER PARA CAJA</t>
    </r>
    <r>
      <rPr>
        <sz val="16"/>
        <rFont val="Arial"/>
        <family val="2"/>
      </rPr>
      <t xml:space="preserve">
Medidas: 9 x 9 cm
Vinil acabado mate o brilloso
Full color por 1 lado.
Corte recto o troquelado forma personalizada
Servicio de pegado en cajitas
</t>
    </r>
    <r>
      <rPr>
        <b/>
        <sz val="16"/>
        <color rgb="FFFF0000"/>
        <rFont val="Arial"/>
        <family val="2"/>
      </rPr>
      <t>*Diseño o arte facilitado por el cliente</t>
    </r>
  </si>
  <si>
    <t xml:space="preserve"> + 2 Días útiles</t>
  </si>
  <si>
    <r>
      <rPr>
        <b/>
        <u/>
        <sz val="16"/>
        <rFont val="Arial"/>
        <family val="2"/>
      </rPr>
      <t>CAJA PERSONALIZADA</t>
    </r>
    <r>
      <rPr>
        <sz val="16"/>
        <rFont val="Arial"/>
        <family val="2"/>
      </rPr>
      <t xml:space="preserve">
Medidas: 9 x 9 x 9cm
Material: Folcote C12
Full color por exterior, plastificado mate y Doblez
Servicio de armado con porta post it
</t>
    </r>
    <r>
      <rPr>
        <b/>
        <sz val="16"/>
        <color rgb="FFFF0000"/>
        <rFont val="Arial"/>
        <family val="2"/>
      </rPr>
      <t>*Diseño o arte facilitado por el cliente</t>
    </r>
  </si>
  <si>
    <t>255 cajas en folkote cal 14 cierre automatico tamaño 9x9x9=====698.00 incl igv</t>
  </si>
  <si>
    <t>KL GRAPHIC</t>
  </si>
  <si>
    <t>BOLSA CAMBRELL</t>
  </si>
  <si>
    <t>8 a 10 Días útiles</t>
  </si>
  <si>
    <r>
      <rPr>
        <b/>
        <u/>
        <sz val="16"/>
        <rFont val="Arial"/>
        <family val="2"/>
      </rPr>
      <t>BOLSA CAMBRELL- Fabricación Nacional</t>
    </r>
    <r>
      <rPr>
        <sz val="16"/>
        <rFont val="Arial"/>
        <family val="2"/>
      </rPr>
      <t xml:space="preserve">
Medida: 50 cms x 50 cms , Fuelle 5 cms terminado
(Asa 74 cms)
Material Tela  Cambrell 80 gr
Asa en cinta rigida (color elegir)
Acabado: Costura
Color: a elegir
Presentación: Caja grupal</t>
    </r>
    <r>
      <rPr>
        <b/>
        <sz val="16"/>
        <color rgb="FFFF0000"/>
        <rFont val="Arial"/>
        <family val="2"/>
      </rPr>
      <t xml:space="preserve">
* Incluye logo a 1 color  a un lado.
*Diseño o arte facilitado por el cliente</t>
    </r>
  </si>
  <si>
    <t>DANTE</t>
  </si>
  <si>
    <t>COTIZACIÓN PROPUESTA_GEOBRUGG_26.01.26</t>
  </si>
  <si>
    <t>8 a 9 Días útiles</t>
  </si>
  <si>
    <t>110 broshure de 12 pg  A4 cerrado en couche de 200  plastificado mate con engrampado========s/970.00 incl igv</t>
  </si>
  <si>
    <t xml:space="preserve">KL GRAPHIC
</t>
  </si>
  <si>
    <t>BROCHURE- Fabricación Local</t>
  </si>
  <si>
    <r>
      <rPr>
        <b/>
        <u/>
        <sz val="16"/>
        <rFont val="Arial"/>
        <family val="2"/>
      </rPr>
      <t>BROCHURE-</t>
    </r>
    <r>
      <rPr>
        <b/>
        <u/>
        <sz val="16"/>
        <color rgb="FFFF0000"/>
        <rFont val="Arial"/>
        <family val="2"/>
      </rPr>
      <t xml:space="preserve"> Fabricación Local</t>
    </r>
    <r>
      <rPr>
        <sz val="16"/>
        <rFont val="Arial"/>
        <family val="2"/>
      </rPr>
      <t xml:space="preserve">
Medida (Cerrado): Hojas A4
Tipo de papel: Couché de 200 grs
Paginas: 12 
Impresión: Full color T/R.
Engrapado: Si (2 puntos)
Acabados: Doblez, corte recto y Plastificado mate
Presentación: Empaque grupal.</t>
    </r>
    <r>
      <rPr>
        <b/>
        <sz val="16"/>
        <color rgb="FFFF0000"/>
        <rFont val="Arial"/>
        <family val="2"/>
      </rPr>
      <t xml:space="preserve">
*Diseño o arte facilitado por el cliente</t>
    </r>
  </si>
  <si>
    <t>COTIZACIÓN PROPUESTA_GEOBRUGG_26.05.26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</si>
</sst>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S/.&quot;\ #,##0.00"/>
    <numFmt numFmtId="165" formatCode="[$S/.-280A]\ #,##0.00"/>
    <numFmt numFmtId="166" formatCode="_-[$$-409]* #,##0.00_ ;_-[$$-409]* \-#,##0.00\ ;_-[$$-409]* &quot;-&quot;??_ ;_-@_ "/>
    <numFmt numFmtId="167" formatCode="_(* #,##0_);_(* \(#,##0\);_(* &quot;-&quot;??_);_(@_)"/>
    <numFmt numFmtId="168" formatCode="&quot;S/&quot;#,##0.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indexed="8"/>
      <name val="Arial"/>
      <family val="2"/>
    </font>
    <font>
      <sz val="11"/>
      <name val="Arial"/>
      <family val="2"/>
    </font>
    <font>
      <b/>
      <sz val="14"/>
      <color indexed="8"/>
      <name val="Arial"/>
      <family val="2"/>
    </font>
    <font>
      <sz val="11"/>
      <color indexed="8"/>
      <name val="Calibri"/>
      <family val="2"/>
    </font>
    <font>
      <sz val="14"/>
      <color indexed="8"/>
      <name val="Calibri"/>
      <family val="2"/>
    </font>
    <font>
      <b/>
      <sz val="14"/>
      <color indexed="9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b/>
      <sz val="16"/>
      <color rgb="FFFF0000"/>
      <name val="Arial"/>
      <family val="2"/>
    </font>
    <font>
      <b/>
      <sz val="16"/>
      <name val="Arial"/>
      <family val="2"/>
    </font>
    <font>
      <sz val="16"/>
      <color theme="1"/>
      <name val="Arial"/>
      <family val="2"/>
    </font>
    <font>
      <sz val="16"/>
      <color rgb="FFFF0000"/>
      <name val="Arial"/>
      <family val="2"/>
    </font>
    <font>
      <sz val="11"/>
      <color indexed="52"/>
      <name val="Tahoma"/>
      <family val="2"/>
      <charset val="1"/>
    </font>
    <font>
      <sz val="8"/>
      <name val="Calibri"/>
      <family val="2"/>
      <scheme val="minor"/>
    </font>
    <font>
      <sz val="16"/>
      <color indexed="8"/>
      <name val="Arial"/>
      <family val="2"/>
    </font>
    <font>
      <b/>
      <sz val="16"/>
      <color indexed="63"/>
      <name val="Arial"/>
      <family val="2"/>
    </font>
    <font>
      <sz val="16"/>
      <color indexed="63"/>
      <name val="Arial"/>
      <family val="2"/>
    </font>
    <font>
      <b/>
      <sz val="18"/>
      <color theme="1"/>
      <name val="Arial"/>
      <family val="2"/>
    </font>
    <font>
      <b/>
      <u/>
      <sz val="16"/>
      <name val="Arial"/>
      <family val="2"/>
    </font>
    <font>
      <b/>
      <sz val="16"/>
      <color theme="0"/>
      <name val="Arial"/>
      <family val="2"/>
    </font>
    <font>
      <sz val="16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6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51"/>
        <bgColor indexed="13"/>
      </patternFill>
    </fill>
    <fill>
      <patternFill patternType="solid">
        <fgColor indexed="56"/>
        <bgColor indexed="62"/>
      </patternFill>
    </fill>
    <fill>
      <patternFill patternType="solid">
        <fgColor indexed="13"/>
        <bgColor indexed="34"/>
      </patternFill>
    </fill>
    <fill>
      <patternFill patternType="solid">
        <fgColor indexed="10"/>
        <bgColor indexed="6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16" fillId="0" borderId="2" applyProtection="0">
      <alignment vertical="center"/>
    </xf>
    <xf numFmtId="0" fontId="6" fillId="0" borderId="0"/>
    <xf numFmtId="0" fontId="1" fillId="0" borderId="0"/>
    <xf numFmtId="0" fontId="2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1" fillId="0" borderId="0"/>
    <xf numFmtId="0" fontId="1" fillId="0" borderId="0"/>
    <xf numFmtId="166" fontId="6" fillId="0" borderId="0" applyFont="0" applyFill="0" applyBorder="0" applyAlignment="0" applyProtection="0"/>
    <xf numFmtId="0" fontId="1" fillId="0" borderId="0"/>
    <xf numFmtId="0" fontId="1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4" fillId="2" borderId="0" xfId="2" applyFont="1" applyFill="1"/>
    <xf numFmtId="49" fontId="2" fillId="2" borderId="0" xfId="1" applyNumberFormat="1" applyFill="1" applyAlignment="1">
      <alignment vertical="center" wrapText="1"/>
    </xf>
    <xf numFmtId="0" fontId="4" fillId="2" borderId="0" xfId="2" applyFont="1" applyFill="1" applyAlignment="1">
      <alignment vertical="center"/>
    </xf>
    <xf numFmtId="0" fontId="4" fillId="2" borderId="0" xfId="2" applyFont="1" applyFill="1" applyAlignment="1">
      <alignment wrapText="1"/>
    </xf>
    <xf numFmtId="0" fontId="7" fillId="0" borderId="0" xfId="0" applyFont="1" applyAlignment="1">
      <alignment horizontal="center" wrapText="1"/>
    </xf>
    <xf numFmtId="0" fontId="7" fillId="0" borderId="0" xfId="0" applyFont="1"/>
    <xf numFmtId="0" fontId="4" fillId="0" borderId="0" xfId="2" applyFont="1" applyAlignment="1">
      <alignment wrapText="1"/>
    </xf>
    <xf numFmtId="0" fontId="13" fillId="7" borderId="1" xfId="1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3" borderId="1" xfId="3" applyFont="1" applyFill="1" applyBorder="1" applyAlignment="1">
      <alignment horizontal="center" vertical="center" wrapText="1"/>
    </xf>
    <xf numFmtId="164" fontId="14" fillId="10" borderId="1" xfId="1" applyNumberFormat="1" applyFont="1" applyFill="1" applyBorder="1" applyAlignment="1">
      <alignment horizontal="center" vertical="center"/>
    </xf>
    <xf numFmtId="164" fontId="14" fillId="9" borderId="1" xfId="1" applyNumberFormat="1" applyFont="1" applyFill="1" applyBorder="1" applyAlignment="1">
      <alignment horizontal="center" vertical="center"/>
    </xf>
    <xf numFmtId="0" fontId="21" fillId="8" borderId="1" xfId="1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 wrapText="1"/>
    </xf>
    <xf numFmtId="165" fontId="14" fillId="10" borderId="1" xfId="1" applyNumberFormat="1" applyFont="1" applyFill="1" applyBorder="1" applyAlignment="1">
      <alignment horizontal="center" vertical="center"/>
    </xf>
    <xf numFmtId="164" fontId="19" fillId="10" borderId="1" xfId="1" applyNumberFormat="1" applyFont="1" applyFill="1" applyBorder="1" applyAlignment="1">
      <alignment horizontal="center" vertical="center"/>
    </xf>
    <xf numFmtId="164" fontId="20" fillId="10" borderId="1" xfId="1" applyNumberFormat="1" applyFont="1" applyFill="1" applyBorder="1" applyAlignment="1">
      <alignment horizontal="center" vertical="center"/>
    </xf>
    <xf numFmtId="164" fontId="12" fillId="8" borderId="1" xfId="1" applyNumberFormat="1" applyFont="1" applyFill="1" applyBorder="1" applyAlignment="1">
      <alignment horizontal="center" vertical="center"/>
    </xf>
    <xf numFmtId="0" fontId="14" fillId="7" borderId="1" xfId="1" applyFont="1" applyFill="1" applyBorder="1" applyAlignment="1">
      <alignment horizontal="center" vertical="center"/>
    </xf>
    <xf numFmtId="164" fontId="15" fillId="8" borderId="1" xfId="1" applyNumberFormat="1" applyFont="1" applyFill="1" applyBorder="1" applyAlignment="1">
      <alignment horizontal="center" vertical="center"/>
    </xf>
    <xf numFmtId="164" fontId="14" fillId="7" borderId="1" xfId="1" applyNumberFormat="1" applyFont="1" applyFill="1" applyBorder="1" applyAlignment="1">
      <alignment horizontal="center" vertical="center"/>
    </xf>
    <xf numFmtId="164" fontId="14" fillId="8" borderId="1" xfId="1" applyNumberFormat="1" applyFont="1" applyFill="1" applyBorder="1" applyAlignment="1">
      <alignment horizontal="center" vertical="center"/>
    </xf>
    <xf numFmtId="164" fontId="14" fillId="0" borderId="1" xfId="1" applyNumberFormat="1" applyFont="1" applyBorder="1" applyAlignment="1">
      <alignment horizontal="center" vertical="center"/>
    </xf>
    <xf numFmtId="164" fontId="23" fillId="11" borderId="1" xfId="1" applyNumberFormat="1" applyFont="1" applyFill="1" applyBorder="1" applyAlignment="1">
      <alignment horizontal="center" vertical="center"/>
    </xf>
    <xf numFmtId="165" fontId="14" fillId="8" borderId="1" xfId="12" applyNumberFormat="1" applyFont="1" applyFill="1" applyBorder="1" applyAlignment="1">
      <alignment horizontal="center" vertical="center"/>
    </xf>
    <xf numFmtId="165" fontId="12" fillId="8" borderId="1" xfId="1" applyNumberFormat="1" applyFont="1" applyFill="1" applyBorder="1" applyAlignment="1">
      <alignment horizontal="center" vertical="center"/>
    </xf>
    <xf numFmtId="164" fontId="10" fillId="8" borderId="1" xfId="1" applyNumberFormat="1" applyFont="1" applyFill="1" applyBorder="1" applyAlignment="1">
      <alignment horizontal="center" vertical="center" wrapText="1"/>
    </xf>
    <xf numFmtId="0" fontId="4" fillId="8" borderId="0" xfId="1" applyFont="1" applyFill="1"/>
    <xf numFmtId="0" fontId="8" fillId="4" borderId="1" xfId="1" applyFont="1" applyFill="1" applyBorder="1" applyAlignment="1">
      <alignment horizontal="center" vertical="center" wrapText="1"/>
    </xf>
    <xf numFmtId="0" fontId="9" fillId="5" borderId="1" xfId="1" applyFont="1" applyFill="1" applyBorder="1" applyAlignment="1">
      <alignment horizontal="center" vertical="center" wrapText="1"/>
    </xf>
    <xf numFmtId="0" fontId="9" fillId="3" borderId="1" xfId="1" applyFont="1" applyFill="1" applyBorder="1" applyAlignment="1">
      <alignment horizontal="center" vertical="center" wrapText="1"/>
    </xf>
    <xf numFmtId="0" fontId="8" fillId="6" borderId="1" xfId="1" applyFont="1" applyFill="1" applyBorder="1" applyAlignment="1">
      <alignment horizontal="center" vertical="center" wrapText="1"/>
    </xf>
    <xf numFmtId="9" fontId="8" fillId="6" borderId="1" xfId="1" applyNumberFormat="1" applyFont="1" applyFill="1" applyBorder="1" applyAlignment="1">
      <alignment horizontal="center" vertical="center"/>
    </xf>
    <xf numFmtId="0" fontId="0" fillId="8" borderId="0" xfId="0" applyFill="1"/>
    <xf numFmtId="0" fontId="13" fillId="0" borderId="1" xfId="0" applyFont="1" applyBorder="1" applyAlignment="1">
      <alignment horizontal="center" vertical="center" wrapText="1"/>
    </xf>
    <xf numFmtId="167" fontId="13" fillId="0" borderId="1" xfId="10" applyNumberFormat="1" applyFont="1" applyFill="1" applyBorder="1" applyAlignment="1">
      <alignment horizontal="center" vertical="center" wrapText="1"/>
    </xf>
    <xf numFmtId="0" fontId="15" fillId="8" borderId="1" xfId="11" applyFont="1" applyFill="1" applyBorder="1" applyAlignment="1">
      <alignment horizontal="center"/>
    </xf>
    <xf numFmtId="0" fontId="14" fillId="0" borderId="1" xfId="12" applyFont="1" applyBorder="1" applyAlignment="1">
      <alignment horizontal="left" vertical="center" wrapText="1"/>
    </xf>
    <xf numFmtId="164" fontId="11" fillId="8" borderId="1" xfId="1" applyNumberFormat="1" applyFont="1" applyFill="1" applyBorder="1" applyAlignment="1">
      <alignment horizontal="center" vertical="center" wrapText="1"/>
    </xf>
    <xf numFmtId="0" fontId="14" fillId="8" borderId="1" xfId="1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168" fontId="10" fillId="8" borderId="1" xfId="1" applyNumberFormat="1" applyFont="1" applyFill="1" applyBorder="1" applyAlignment="1">
      <alignment horizontal="center" vertical="center"/>
    </xf>
    <xf numFmtId="49" fontId="10" fillId="8" borderId="1" xfId="1" applyNumberFormat="1" applyFont="1" applyFill="1" applyBorder="1" applyAlignment="1">
      <alignment horizontal="center" vertical="center" wrapText="1"/>
    </xf>
    <xf numFmtId="167" fontId="13" fillId="8" borderId="1" xfId="10" applyNumberFormat="1" applyFont="1" applyFill="1" applyBorder="1" applyAlignment="1">
      <alignment horizontal="center" vertical="center" wrapText="1"/>
    </xf>
    <xf numFmtId="49" fontId="10" fillId="8" borderId="1" xfId="1" applyNumberFormat="1" applyFont="1" applyFill="1" applyBorder="1" applyAlignment="1">
      <alignment horizontal="center" vertical="center" wrapText="1"/>
    </xf>
    <xf numFmtId="49" fontId="10" fillId="8" borderId="1" xfId="1" applyNumberFormat="1" applyFont="1" applyFill="1" applyBorder="1" applyAlignment="1">
      <alignment horizontal="center" vertical="center" wrapText="1"/>
    </xf>
    <xf numFmtId="9" fontId="25" fillId="0" borderId="0" xfId="21" applyFont="1" applyAlignment="1">
      <alignment horizontal="center" vertical="center"/>
    </xf>
    <xf numFmtId="49" fontId="10" fillId="8" borderId="1" xfId="1" applyNumberFormat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49" fontId="10" fillId="8" borderId="1" xfId="1" applyNumberFormat="1" applyFont="1" applyFill="1" applyBorder="1" applyAlignment="1">
      <alignment horizontal="center" vertical="center" wrapText="1"/>
    </xf>
    <xf numFmtId="167" fontId="13" fillId="0" borderId="3" xfId="10" applyNumberFormat="1" applyFont="1" applyFill="1" applyBorder="1" applyAlignment="1">
      <alignment horizontal="center" vertical="center" wrapText="1"/>
    </xf>
    <xf numFmtId="167" fontId="13" fillId="0" borderId="4" xfId="10" applyNumberFormat="1" applyFont="1" applyFill="1" applyBorder="1" applyAlignment="1">
      <alignment horizontal="center" vertical="center" wrapText="1"/>
    </xf>
    <xf numFmtId="0" fontId="12" fillId="8" borderId="1" xfId="11" applyFont="1" applyFill="1" applyBorder="1" applyAlignment="1">
      <alignment horizontal="center"/>
    </xf>
  </cellXfs>
  <cellStyles count="22">
    <cellStyle name="Excel Built-in Explanatory Text" xfId="5" xr:uid="{71737229-E2BF-406A-87E1-BECE46612EDD}"/>
    <cellStyle name="Millares 2 2 3 2 2 2 2" xfId="9" xr:uid="{F8C72FC6-B49A-4049-866A-537A729B4061}"/>
    <cellStyle name="Millares 2 2 3 2 2 2 2 2 2 2 2" xfId="13" xr:uid="{779A8532-DC7E-4E97-9A24-A888A0F94CFF}"/>
    <cellStyle name="Millares 2 2 3 2 2 2 2 2 2 2 2 2" xfId="16" xr:uid="{B1DAD9AF-E619-4FDF-A293-5A25149B4A2B}"/>
    <cellStyle name="Millares 2 2 3 2 2 2 2 2 3" xfId="10" xr:uid="{D618118F-75A8-4AEC-8B91-CEF618F3C174}"/>
    <cellStyle name="Millares 2 2 3 2 2 2 2 2 3 2" xfId="17" xr:uid="{CC6D030F-C469-484B-9563-FEB8D7928ECE}"/>
    <cellStyle name="Normal" xfId="0" builtinId="0"/>
    <cellStyle name="Normal 10 2" xfId="8" xr:uid="{80EA9547-E95E-479E-B51D-C3766A170262}"/>
    <cellStyle name="Normal 16 2 2" xfId="18" xr:uid="{367AC606-AA9A-4CB4-AF9C-BF9F83ADE256}"/>
    <cellStyle name="Normal 2 2" xfId="1" xr:uid="{6DC1A720-A02C-46A2-B0CD-B980ECAD5DAF}"/>
    <cellStyle name="Normal 2 2 6 2" xfId="6" xr:uid="{312C92CF-EF93-47A8-AB6E-12F25CF6C613}"/>
    <cellStyle name="Normal 2 3 2" xfId="11" xr:uid="{76929555-AEFD-4663-987E-6375FA7EE0DC}"/>
    <cellStyle name="Normal 2 3 2 2" xfId="14" xr:uid="{18392D4A-0616-4E1A-A7C4-71EC48F1A2C0}"/>
    <cellStyle name="Normal 3 3 2" xfId="4" xr:uid="{2332BF7F-C703-44A4-9B3A-9DBB8C89AAB8}"/>
    <cellStyle name="Normal 3 3 2 5 2" xfId="7" xr:uid="{A719DD3F-2513-4DE2-8310-33FF30D7B965}"/>
    <cellStyle name="Normal 3 4" xfId="12" xr:uid="{E0B31987-37F2-4B55-BD50-39B0E9936288}"/>
    <cellStyle name="Normal 3 4 2" xfId="3" xr:uid="{40EC9429-6E69-4B95-8E07-B37D473F8F00}"/>
    <cellStyle name="Normal 3 4 2 4" xfId="15" xr:uid="{E73629AD-8EFE-4202-8597-FF81FA6070AE}"/>
    <cellStyle name="Normal 3 4 2 4 3" xfId="20" xr:uid="{8AFBE31A-2D57-4FB7-8103-BEFAAD069B1D}"/>
    <cellStyle name="Normal 3 4 2 6" xfId="19" xr:uid="{065FEAA8-C9C9-46F0-AA2F-31E08E9FFB16}"/>
    <cellStyle name="Normal 4 2" xfId="2" xr:uid="{AA62CFFD-15F2-4D43-9111-F4F76B52BCEF}"/>
    <cellStyle name="Porcentaje" xfId="2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565390</xdr:colOff>
      <xdr:row>7</xdr:row>
      <xdr:rowOff>212607</xdr:rowOff>
    </xdr:from>
    <xdr:ext cx="2089127" cy="2114550"/>
    <xdr:pic>
      <xdr:nvPicPr>
        <xdr:cNvPr id="2" name="Imagen 1">
          <a:extLst>
            <a:ext uri="{FF2B5EF4-FFF2-40B4-BE49-F238E27FC236}">
              <a16:creationId xmlns:a16="http://schemas.microsoft.com/office/drawing/2014/main" id="{D2099D46-60EC-4FDA-83B3-77A8E3BF6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54211" y="2243409"/>
          <a:ext cx="2089127" cy="2114550"/>
        </a:xfrm>
        <a:prstGeom prst="rect">
          <a:avLst/>
        </a:prstGeom>
      </xdr:spPr>
    </xdr:pic>
    <xdr:clientData/>
  </xdr:oneCellAnchor>
  <xdr:twoCellAnchor editAs="oneCell">
    <xdr:from>
      <xdr:col>4</xdr:col>
      <xdr:colOff>449292</xdr:colOff>
      <xdr:row>9</xdr:row>
      <xdr:rowOff>71886</xdr:rowOff>
    </xdr:from>
    <xdr:to>
      <xdr:col>4</xdr:col>
      <xdr:colOff>2731697</xdr:colOff>
      <xdr:row>9</xdr:row>
      <xdr:rowOff>2094927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678D58-13F5-49BE-20ED-0E67E6DE7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8113" y="6523726"/>
          <a:ext cx="2282405" cy="2023041"/>
        </a:xfrm>
        <a:prstGeom prst="rect">
          <a:avLst/>
        </a:prstGeom>
      </xdr:spPr>
    </xdr:pic>
    <xdr:clientData/>
  </xdr:twoCellAnchor>
  <xdr:twoCellAnchor editAs="oneCell">
    <xdr:from>
      <xdr:col>4</xdr:col>
      <xdr:colOff>521179</xdr:colOff>
      <xdr:row>10</xdr:row>
      <xdr:rowOff>280156</xdr:rowOff>
    </xdr:from>
    <xdr:to>
      <xdr:col>4</xdr:col>
      <xdr:colOff>2516037</xdr:colOff>
      <xdr:row>10</xdr:row>
      <xdr:rowOff>2675655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6B33C59-BACC-280D-BEDA-3668A2694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000" y="9194118"/>
          <a:ext cx="1994858" cy="2395499"/>
        </a:xfrm>
        <a:prstGeom prst="rect">
          <a:avLst/>
        </a:prstGeom>
      </xdr:spPr>
    </xdr:pic>
    <xdr:clientData/>
  </xdr:twoCellAnchor>
  <xdr:twoCellAnchor editAs="oneCell">
    <xdr:from>
      <xdr:col>4</xdr:col>
      <xdr:colOff>629010</xdr:colOff>
      <xdr:row>3</xdr:row>
      <xdr:rowOff>233632</xdr:rowOff>
    </xdr:from>
    <xdr:to>
      <xdr:col>4</xdr:col>
      <xdr:colOff>2426180</xdr:colOff>
      <xdr:row>3</xdr:row>
      <xdr:rowOff>2814771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9A6CDC0-9DFB-D98A-D599-3B98C19A6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17831" y="1473679"/>
          <a:ext cx="1797170" cy="25811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0EAAD-E566-488C-A947-57D1D86BF675}">
  <dimension ref="A2:IA11"/>
  <sheetViews>
    <sheetView showGridLines="0" tabSelected="1" zoomScale="53" zoomScaleNormal="53" workbookViewId="0">
      <selection activeCell="B2" sqref="B2:J4"/>
    </sheetView>
  </sheetViews>
  <sheetFormatPr baseColWidth="10" defaultColWidth="11.42578125" defaultRowHeight="15" x14ac:dyDescent="0.25"/>
  <cols>
    <col min="1" max="1" width="4" customWidth="1"/>
    <col min="2" max="2" width="6.140625" customWidth="1"/>
    <col min="3" max="3" width="17" customWidth="1"/>
    <col min="4" max="4" width="22.140625" customWidth="1"/>
    <col min="5" max="5" width="46.28515625" customWidth="1"/>
    <col min="6" max="6" width="14.140625" customWidth="1"/>
    <col min="7" max="7" width="21" customWidth="1"/>
    <col min="8" max="8" width="16.7109375" customWidth="1"/>
    <col min="9" max="9" width="82.5703125" customWidth="1"/>
    <col min="10" max="10" width="28.42578125" customWidth="1"/>
    <col min="11" max="11" width="6.28515625" customWidth="1"/>
    <col min="12" max="12" width="12.7109375" customWidth="1"/>
    <col min="13" max="13" width="25.7109375" customWidth="1"/>
    <col min="14" max="14" width="16.7109375" customWidth="1"/>
    <col min="15" max="15" width="29.85546875" customWidth="1"/>
    <col min="16" max="16" width="22.7109375" customWidth="1"/>
    <col min="17" max="17" width="21.85546875" customWidth="1"/>
    <col min="18" max="18" width="15.7109375" customWidth="1"/>
    <col min="19" max="19" width="19.42578125" customWidth="1"/>
    <col min="20" max="20" width="27.5703125" customWidth="1"/>
    <col min="21" max="21" width="18" customWidth="1"/>
    <col min="22" max="22" width="16.5703125" customWidth="1"/>
    <col min="23" max="23" width="18.5703125" customWidth="1"/>
    <col min="24" max="24" width="17" customWidth="1"/>
    <col min="25" max="25" width="25.5703125" customWidth="1"/>
    <col min="26" max="26" width="31" customWidth="1"/>
    <col min="27" max="27" width="22.7109375" customWidth="1"/>
    <col min="28" max="30" width="11.5703125" bestFit="1" customWidth="1"/>
    <col min="31" max="31" width="16.140625" customWidth="1"/>
    <col min="32" max="32" width="17" customWidth="1"/>
    <col min="33" max="33" width="19.85546875" customWidth="1"/>
    <col min="34" max="34" width="20.42578125" bestFit="1" customWidth="1"/>
    <col min="35" max="35" width="25" customWidth="1"/>
    <col min="36" max="36" width="17.7109375" customWidth="1"/>
    <col min="37" max="37" width="15.5703125" customWidth="1"/>
  </cols>
  <sheetData>
    <row r="2" spans="1:235" ht="28.5" customHeight="1" x14ac:dyDescent="0.25">
      <c r="B2" s="49" t="s">
        <v>60</v>
      </c>
      <c r="C2" s="49"/>
      <c r="D2" s="49"/>
      <c r="E2" s="49"/>
      <c r="F2" s="49"/>
      <c r="G2" s="49"/>
      <c r="H2" s="49"/>
      <c r="I2" s="49"/>
      <c r="J2" s="49"/>
      <c r="K2" s="7"/>
      <c r="L2" s="1"/>
      <c r="M2" s="2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4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235" ht="54" x14ac:dyDescent="0.3">
      <c r="A3" s="6"/>
      <c r="B3" s="9" t="s">
        <v>39</v>
      </c>
      <c r="C3" s="9" t="s">
        <v>0</v>
      </c>
      <c r="D3" s="9" t="s">
        <v>1</v>
      </c>
      <c r="E3" s="9" t="s">
        <v>2</v>
      </c>
      <c r="F3" s="9" t="s">
        <v>3</v>
      </c>
      <c r="G3" s="10" t="s">
        <v>4</v>
      </c>
      <c r="H3" s="10" t="s">
        <v>5</v>
      </c>
      <c r="I3" s="10" t="s">
        <v>6</v>
      </c>
      <c r="J3" s="10" t="s">
        <v>7</v>
      </c>
      <c r="K3" s="7"/>
      <c r="L3" s="5"/>
      <c r="M3" s="29" t="s">
        <v>8</v>
      </c>
      <c r="N3" s="29" t="s">
        <v>9</v>
      </c>
      <c r="O3" s="29" t="s">
        <v>10</v>
      </c>
      <c r="P3" s="29" t="s">
        <v>11</v>
      </c>
      <c r="Q3" s="30" t="s">
        <v>12</v>
      </c>
      <c r="R3" s="30" t="s">
        <v>13</v>
      </c>
      <c r="S3" s="30" t="s">
        <v>14</v>
      </c>
      <c r="T3" s="30" t="s">
        <v>15</v>
      </c>
      <c r="U3" s="30" t="s">
        <v>16</v>
      </c>
      <c r="V3" s="30" t="s">
        <v>17</v>
      </c>
      <c r="W3" s="30" t="s">
        <v>18</v>
      </c>
      <c r="X3" s="29" t="s">
        <v>19</v>
      </c>
      <c r="Y3" s="29" t="s">
        <v>20</v>
      </c>
      <c r="Z3" s="31" t="s">
        <v>21</v>
      </c>
      <c r="AA3" s="31" t="s">
        <v>22</v>
      </c>
      <c r="AB3" s="31" t="s">
        <v>23</v>
      </c>
      <c r="AC3" s="31" t="s">
        <v>24</v>
      </c>
      <c r="AD3" s="31" t="s">
        <v>25</v>
      </c>
      <c r="AE3" s="31" t="s">
        <v>26</v>
      </c>
      <c r="AF3" s="29" t="s">
        <v>27</v>
      </c>
      <c r="AG3" s="29" t="s">
        <v>28</v>
      </c>
      <c r="AH3" s="32" t="s">
        <v>16</v>
      </c>
      <c r="AI3" s="32" t="s">
        <v>29</v>
      </c>
      <c r="AJ3" s="32" t="s">
        <v>30</v>
      </c>
      <c r="AK3" s="33" t="s">
        <v>31</v>
      </c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</row>
    <row r="4" spans="1:235" ht="249.75" customHeight="1" x14ac:dyDescent="0.3">
      <c r="A4" s="34"/>
      <c r="B4" s="35">
        <v>1</v>
      </c>
      <c r="C4" s="51" t="s">
        <v>58</v>
      </c>
      <c r="D4" s="52"/>
      <c r="E4" s="53" t="s">
        <v>32</v>
      </c>
      <c r="F4" s="13">
        <v>100</v>
      </c>
      <c r="G4" s="39">
        <v>14.49</v>
      </c>
      <c r="H4" s="14" t="s">
        <v>55</v>
      </c>
      <c r="I4" s="38" t="s">
        <v>59</v>
      </c>
      <c r="J4" s="39">
        <f>+F4*G4</f>
        <v>1449</v>
      </c>
      <c r="K4" s="28"/>
      <c r="L4" s="47">
        <f>T4/J4</f>
        <v>0.26605439648917911</v>
      </c>
      <c r="M4" s="48" t="s">
        <v>57</v>
      </c>
      <c r="N4" s="41"/>
      <c r="O4" s="50" t="s">
        <v>56</v>
      </c>
      <c r="P4" s="50"/>
      <c r="Q4" s="42">
        <f>970/100/1.17</f>
        <v>8.2905982905982913</v>
      </c>
      <c r="R4" s="8">
        <v>46.5</v>
      </c>
      <c r="S4" s="15">
        <f t="shared" ref="S4" si="0">Q4*R4/100</f>
        <v>3.8551282051282056</v>
      </c>
      <c r="T4" s="16">
        <f t="shared" ref="T4" si="1">S4*V4</f>
        <v>385.51282051282055</v>
      </c>
      <c r="U4" s="17">
        <f t="shared" ref="U4" si="2">Q4+S4</f>
        <v>12.145726495726496</v>
      </c>
      <c r="V4" s="8">
        <f>F4</f>
        <v>100</v>
      </c>
      <c r="W4" s="11">
        <f>Q4*0+40</f>
        <v>40</v>
      </c>
      <c r="X4" s="22">
        <f>20+30+60</f>
        <v>110</v>
      </c>
      <c r="Y4" s="18">
        <f t="shared" ref="Y4" si="3">V4*U4+W4+X4</f>
        <v>1364.5726495726497</v>
      </c>
      <c r="Z4" s="27"/>
      <c r="AA4" s="12">
        <v>0</v>
      </c>
      <c r="AB4" s="19">
        <v>1</v>
      </c>
      <c r="AC4" s="40">
        <v>1</v>
      </c>
      <c r="AD4" s="19">
        <v>1</v>
      </c>
      <c r="AE4" s="20">
        <f t="shared" ref="AE4" si="4">AA4*AB4*AC4*AD4</f>
        <v>0</v>
      </c>
      <c r="AF4" s="21">
        <f>V4/50*3.85</f>
        <v>7.7</v>
      </c>
      <c r="AG4" s="22">
        <f>2%*(Y4+AE4+AF4)</f>
        <v>27.445452991452996</v>
      </c>
      <c r="AH4" s="23">
        <f t="shared" ref="AH4" si="5">Y4+AE4+AG4+AF4</f>
        <v>1399.7181025641028</v>
      </c>
      <c r="AI4" s="24">
        <f t="shared" ref="AI4" si="6">AH4/V4</f>
        <v>13.997181025641028</v>
      </c>
      <c r="AJ4" s="25">
        <f t="shared" ref="AJ4" si="7">AI4*18%</f>
        <v>2.5194925846153851</v>
      </c>
      <c r="AK4" s="26">
        <f t="shared" ref="AK4" si="8">AI4+AJ4</f>
        <v>16.516673610256412</v>
      </c>
    </row>
    <row r="6" spans="1:235" ht="28.5" customHeight="1" x14ac:dyDescent="0.25">
      <c r="B6" s="49" t="s">
        <v>54</v>
      </c>
      <c r="C6" s="49"/>
      <c r="D6" s="49"/>
      <c r="E6" s="49"/>
      <c r="F6" s="49"/>
      <c r="G6" s="49"/>
      <c r="H6" s="49"/>
      <c r="I6" s="49"/>
      <c r="J6" s="49"/>
      <c r="K6" s="7"/>
      <c r="L6" s="1"/>
      <c r="M6" s="2"/>
      <c r="N6" s="1"/>
      <c r="O6" s="3"/>
      <c r="P6" s="1"/>
      <c r="Q6" s="1"/>
      <c r="R6" s="1"/>
      <c r="S6" s="1"/>
      <c r="T6" s="1"/>
      <c r="U6" s="1"/>
      <c r="V6" s="1"/>
      <c r="W6" s="1"/>
      <c r="X6" s="1"/>
      <c r="Y6" s="1"/>
      <c r="Z6" s="4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235" ht="54" x14ac:dyDescent="0.3">
      <c r="A7" s="6"/>
      <c r="B7" s="9" t="s">
        <v>39</v>
      </c>
      <c r="C7" s="9" t="s">
        <v>0</v>
      </c>
      <c r="D7" s="9" t="s">
        <v>1</v>
      </c>
      <c r="E7" s="9" t="s">
        <v>2</v>
      </c>
      <c r="F7" s="9" t="s">
        <v>3</v>
      </c>
      <c r="G7" s="10" t="s">
        <v>4</v>
      </c>
      <c r="H7" s="10" t="s">
        <v>5</v>
      </c>
      <c r="I7" s="10" t="s">
        <v>6</v>
      </c>
      <c r="J7" s="10" t="s">
        <v>7</v>
      </c>
      <c r="K7" s="7"/>
      <c r="L7" s="5"/>
      <c r="M7" s="29" t="s">
        <v>8</v>
      </c>
      <c r="N7" s="29" t="s">
        <v>9</v>
      </c>
      <c r="O7" s="29" t="s">
        <v>10</v>
      </c>
      <c r="P7" s="29" t="s">
        <v>11</v>
      </c>
      <c r="Q7" s="30" t="s">
        <v>12</v>
      </c>
      <c r="R7" s="30" t="s">
        <v>13</v>
      </c>
      <c r="S7" s="30" t="s">
        <v>14</v>
      </c>
      <c r="T7" s="30" t="s">
        <v>15</v>
      </c>
      <c r="U7" s="30" t="s">
        <v>16</v>
      </c>
      <c r="V7" s="30" t="s">
        <v>17</v>
      </c>
      <c r="W7" s="30" t="s">
        <v>18</v>
      </c>
      <c r="X7" s="29" t="s">
        <v>19</v>
      </c>
      <c r="Y7" s="29" t="s">
        <v>20</v>
      </c>
      <c r="Z7" s="31" t="s">
        <v>21</v>
      </c>
      <c r="AA7" s="31" t="s">
        <v>22</v>
      </c>
      <c r="AB7" s="31" t="s">
        <v>23</v>
      </c>
      <c r="AC7" s="31" t="s">
        <v>24</v>
      </c>
      <c r="AD7" s="31" t="s">
        <v>25</v>
      </c>
      <c r="AE7" s="31" t="s">
        <v>26</v>
      </c>
      <c r="AF7" s="29" t="s">
        <v>27</v>
      </c>
      <c r="AG7" s="29" t="s">
        <v>28</v>
      </c>
      <c r="AH7" s="32" t="s">
        <v>16</v>
      </c>
      <c r="AI7" s="32" t="s">
        <v>29</v>
      </c>
      <c r="AJ7" s="32" t="s">
        <v>30</v>
      </c>
      <c r="AK7" s="33" t="s">
        <v>31</v>
      </c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</row>
    <row r="8" spans="1:235" ht="213" customHeight="1" x14ac:dyDescent="0.3">
      <c r="A8" s="34"/>
      <c r="B8" s="35">
        <v>1</v>
      </c>
      <c r="C8" s="36" t="s">
        <v>36</v>
      </c>
      <c r="D8" s="44" t="s">
        <v>38</v>
      </c>
      <c r="E8" s="37" t="s">
        <v>32</v>
      </c>
      <c r="F8" s="13">
        <v>250</v>
      </c>
      <c r="G8" s="39">
        <v>12.99</v>
      </c>
      <c r="H8" s="14" t="s">
        <v>37</v>
      </c>
      <c r="I8" s="38" t="s">
        <v>44</v>
      </c>
      <c r="J8" s="39">
        <f>+F8*G8</f>
        <v>3247.5</v>
      </c>
      <c r="K8" s="28"/>
      <c r="L8" s="47">
        <f>T8/J8</f>
        <v>0.28131156952544983</v>
      </c>
      <c r="M8" s="43" t="s">
        <v>40</v>
      </c>
      <c r="N8" s="41" t="s">
        <v>33</v>
      </c>
      <c r="O8" s="50" t="s">
        <v>34</v>
      </c>
      <c r="P8" s="50"/>
      <c r="Q8" s="42">
        <f>8.8/1.18</f>
        <v>7.4576271186440684</v>
      </c>
      <c r="R8" s="8">
        <v>49</v>
      </c>
      <c r="S8" s="15">
        <f t="shared" ref="S8" si="9">Q8*R8/100</f>
        <v>3.6542372881355938</v>
      </c>
      <c r="T8" s="16">
        <f t="shared" ref="T8" si="10">S8*V8</f>
        <v>913.55932203389841</v>
      </c>
      <c r="U8" s="17">
        <f t="shared" ref="U8" si="11">Q8+S8</f>
        <v>11.111864406779663</v>
      </c>
      <c r="V8" s="8">
        <f>F8</f>
        <v>250</v>
      </c>
      <c r="W8" s="11">
        <f>Q8*4</f>
        <v>29.830508474576273</v>
      </c>
      <c r="X8" s="22">
        <f>40+60+100</f>
        <v>200</v>
      </c>
      <c r="Y8" s="18">
        <f t="shared" ref="Y8" si="12">V8*U8+W8+X8</f>
        <v>3007.7966101694919</v>
      </c>
      <c r="Z8" s="27" t="s">
        <v>35</v>
      </c>
      <c r="AA8" s="12">
        <f>0.6*250+5</f>
        <v>155</v>
      </c>
      <c r="AB8" s="19">
        <v>1</v>
      </c>
      <c r="AC8" s="40">
        <v>1</v>
      </c>
      <c r="AD8" s="19">
        <v>1</v>
      </c>
      <c r="AE8" s="20">
        <f t="shared" ref="AE8" si="13">AA8*AB8*AC8*AD8</f>
        <v>155</v>
      </c>
      <c r="AF8" s="21">
        <f>V8/50*3.85</f>
        <v>19.25</v>
      </c>
      <c r="AG8" s="22">
        <f>2%*(Y8+AE8+AF8)</f>
        <v>63.640932203389838</v>
      </c>
      <c r="AH8" s="23">
        <f t="shared" ref="AH8" si="14">Y8+AE8+AG8+AF8</f>
        <v>3245.6875423728816</v>
      </c>
      <c r="AI8" s="24">
        <f t="shared" ref="AI8" si="15">AH8/V8</f>
        <v>12.982750169491526</v>
      </c>
      <c r="AJ8" s="25">
        <f t="shared" ref="AJ8" si="16">AI8*18%</f>
        <v>2.3368950305084746</v>
      </c>
      <c r="AK8" s="26">
        <f t="shared" ref="AK8" si="17">AI8+AJ8</f>
        <v>15.3196452</v>
      </c>
    </row>
    <row r="9" spans="1:235" ht="197.25" customHeight="1" x14ac:dyDescent="0.3">
      <c r="A9" s="34"/>
      <c r="B9" s="35">
        <v>2</v>
      </c>
      <c r="C9" s="51" t="s">
        <v>41</v>
      </c>
      <c r="D9" s="52"/>
      <c r="E9" s="37" t="s">
        <v>32</v>
      </c>
      <c r="F9" s="13">
        <v>250</v>
      </c>
      <c r="G9" s="39">
        <v>1.4</v>
      </c>
      <c r="H9" s="14" t="s">
        <v>46</v>
      </c>
      <c r="I9" s="38" t="s">
        <v>45</v>
      </c>
      <c r="J9" s="39">
        <f>+F9*G9</f>
        <v>350</v>
      </c>
      <c r="K9" s="28"/>
      <c r="L9" s="47">
        <f t="shared" ref="L9:L11" si="18">T9/J9</f>
        <v>0.42063492063492064</v>
      </c>
      <c r="M9" s="45" t="s">
        <v>43</v>
      </c>
      <c r="N9" s="41"/>
      <c r="O9" s="50"/>
      <c r="P9" s="50"/>
      <c r="Q9" s="42">
        <f>35/90+50/250</f>
        <v>0.58888888888888891</v>
      </c>
      <c r="R9" s="8">
        <v>100</v>
      </c>
      <c r="S9" s="15">
        <f t="shared" ref="S9:S10" si="19">Q9*R9/100</f>
        <v>0.58888888888888891</v>
      </c>
      <c r="T9" s="16">
        <f t="shared" ref="T9:T10" si="20">S9*V9</f>
        <v>147.22222222222223</v>
      </c>
      <c r="U9" s="17">
        <f t="shared" ref="U9:U10" si="21">Q9+S9</f>
        <v>1.1777777777777778</v>
      </c>
      <c r="V9" s="8">
        <f>F9</f>
        <v>250</v>
      </c>
      <c r="W9" s="11">
        <f>Q9*0</f>
        <v>0</v>
      </c>
      <c r="X9" s="22">
        <v>40</v>
      </c>
      <c r="Y9" s="18">
        <f t="shared" ref="Y9:Y10" si="22">V9*U9+W9+X9</f>
        <v>334.44444444444446</v>
      </c>
      <c r="Z9" s="27"/>
      <c r="AA9" s="12">
        <v>0</v>
      </c>
      <c r="AB9" s="19">
        <v>1</v>
      </c>
      <c r="AC9" s="40">
        <v>1</v>
      </c>
      <c r="AD9" s="19">
        <v>1</v>
      </c>
      <c r="AE9" s="20">
        <f t="shared" ref="AE9:AE10" si="23">AA9*AB9*AC9*AD9</f>
        <v>0</v>
      </c>
      <c r="AF9" s="21">
        <v>3.85</v>
      </c>
      <c r="AG9" s="22">
        <f>2%*(Y9+AE9+AF9)</f>
        <v>6.76588888888889</v>
      </c>
      <c r="AH9" s="23">
        <f t="shared" ref="AH9:AH10" si="24">Y9+AE9+AG9+AF9</f>
        <v>345.06033333333335</v>
      </c>
      <c r="AI9" s="24">
        <f t="shared" ref="AI9:AI10" si="25">AH9/V9</f>
        <v>1.3802413333333334</v>
      </c>
      <c r="AJ9" s="25">
        <f t="shared" ref="AJ9:AJ10" si="26">AI9*18%</f>
        <v>0.24844344000000002</v>
      </c>
      <c r="AK9" s="26">
        <f t="shared" ref="AK9:AK10" si="27">AI9+AJ9</f>
        <v>1.6286847733333334</v>
      </c>
    </row>
    <row r="10" spans="1:235" ht="193.5" customHeight="1" x14ac:dyDescent="0.3">
      <c r="A10" s="34"/>
      <c r="B10" s="35">
        <v>3</v>
      </c>
      <c r="C10" s="51" t="s">
        <v>42</v>
      </c>
      <c r="D10" s="52"/>
      <c r="E10" s="37" t="s">
        <v>32</v>
      </c>
      <c r="F10" s="13">
        <v>250</v>
      </c>
      <c r="G10" s="39">
        <v>4.1900000000000004</v>
      </c>
      <c r="H10" s="14" t="s">
        <v>37</v>
      </c>
      <c r="I10" s="38" t="s">
        <v>47</v>
      </c>
      <c r="J10" s="39">
        <f>+F10*G10</f>
        <v>1047.5</v>
      </c>
      <c r="K10" s="28"/>
      <c r="L10" s="47">
        <f t="shared" si="18"/>
        <v>0.2388495611018972</v>
      </c>
      <c r="M10" s="45" t="s">
        <v>49</v>
      </c>
      <c r="N10" s="41"/>
      <c r="O10" s="50" t="s">
        <v>48</v>
      </c>
      <c r="P10" s="50"/>
      <c r="Q10" s="42">
        <f>698/250/1.18+50/250</f>
        <v>2.5661016949152544</v>
      </c>
      <c r="R10" s="8">
        <v>39</v>
      </c>
      <c r="S10" s="15">
        <f t="shared" si="19"/>
        <v>1.0007796610169493</v>
      </c>
      <c r="T10" s="16">
        <f t="shared" si="20"/>
        <v>250.19491525423732</v>
      </c>
      <c r="U10" s="17">
        <f t="shared" si="21"/>
        <v>3.5668813559322037</v>
      </c>
      <c r="V10" s="8">
        <f>F10</f>
        <v>250</v>
      </c>
      <c r="W10" s="11">
        <f>Q10*0+20</f>
        <v>20</v>
      </c>
      <c r="X10" s="22">
        <v>90</v>
      </c>
      <c r="Y10" s="18">
        <f t="shared" si="22"/>
        <v>1001.720338983051</v>
      </c>
      <c r="Z10" s="27"/>
      <c r="AA10" s="12">
        <v>0</v>
      </c>
      <c r="AB10" s="19">
        <v>1</v>
      </c>
      <c r="AC10" s="40">
        <v>1</v>
      </c>
      <c r="AD10" s="19">
        <v>1</v>
      </c>
      <c r="AE10" s="20">
        <f t="shared" si="23"/>
        <v>0</v>
      </c>
      <c r="AF10" s="21">
        <f>4.85*2</f>
        <v>9.6999999999999993</v>
      </c>
      <c r="AG10" s="22">
        <f>2%*(Y10+AE10+AF10)</f>
        <v>20.228406779661022</v>
      </c>
      <c r="AH10" s="23">
        <f t="shared" si="24"/>
        <v>1031.648745762712</v>
      </c>
      <c r="AI10" s="24">
        <f t="shared" si="25"/>
        <v>4.1265949830508477</v>
      </c>
      <c r="AJ10" s="25">
        <f t="shared" si="26"/>
        <v>0.74278709694915257</v>
      </c>
      <c r="AK10" s="26">
        <f t="shared" si="27"/>
        <v>4.8693820800000003</v>
      </c>
    </row>
    <row r="11" spans="1:235" ht="244.5" customHeight="1" x14ac:dyDescent="0.3">
      <c r="A11" s="34"/>
      <c r="B11" s="35">
        <v>4</v>
      </c>
      <c r="C11" s="51" t="s">
        <v>50</v>
      </c>
      <c r="D11" s="52"/>
      <c r="E11" s="37" t="s">
        <v>32</v>
      </c>
      <c r="F11" s="13">
        <v>250</v>
      </c>
      <c r="G11" s="39">
        <v>6.95</v>
      </c>
      <c r="H11" s="14" t="s">
        <v>51</v>
      </c>
      <c r="I11" s="38" t="s">
        <v>52</v>
      </c>
      <c r="J11" s="39">
        <f>+F11*G11</f>
        <v>1737.5</v>
      </c>
      <c r="K11" s="28"/>
      <c r="L11" s="47">
        <f t="shared" si="18"/>
        <v>0.32805755395683456</v>
      </c>
      <c r="M11" s="46" t="s">
        <v>53</v>
      </c>
      <c r="N11" s="41"/>
      <c r="O11" s="50"/>
      <c r="P11" s="50"/>
      <c r="Q11" s="42">
        <f>3.3+0.5</f>
        <v>3.8</v>
      </c>
      <c r="R11" s="8">
        <v>60</v>
      </c>
      <c r="S11" s="15">
        <f t="shared" ref="S11" si="28">Q11*R11/100</f>
        <v>2.2799999999999998</v>
      </c>
      <c r="T11" s="16">
        <f t="shared" ref="T11" si="29">S11*V11</f>
        <v>570</v>
      </c>
      <c r="U11" s="17">
        <f t="shared" ref="U11" si="30">Q11+S11</f>
        <v>6.08</v>
      </c>
      <c r="V11" s="8">
        <f>F11</f>
        <v>250</v>
      </c>
      <c r="W11" s="11">
        <f>Q11*5</f>
        <v>19</v>
      </c>
      <c r="X11" s="22">
        <f>50+90</f>
        <v>140</v>
      </c>
      <c r="Y11" s="18">
        <f t="shared" ref="Y11" si="31">V11*U11+W11+X11</f>
        <v>1679</v>
      </c>
      <c r="Z11" s="27"/>
      <c r="AA11" s="12">
        <v>0</v>
      </c>
      <c r="AB11" s="19">
        <v>1</v>
      </c>
      <c r="AC11" s="40">
        <v>1</v>
      </c>
      <c r="AD11" s="19">
        <v>1</v>
      </c>
      <c r="AE11" s="20">
        <f t="shared" ref="AE11" si="32">AA11*AB11*AC11*AD11</f>
        <v>0</v>
      </c>
      <c r="AF11" s="21">
        <f>V11/50*4.85</f>
        <v>24.25</v>
      </c>
      <c r="AG11" s="22">
        <f>2%*(Y11+AE11+AF11)</f>
        <v>34.064999999999998</v>
      </c>
      <c r="AH11" s="23">
        <f t="shared" ref="AH11" si="33">Y11+AE11+AG11+AF11</f>
        <v>1737.3150000000001</v>
      </c>
      <c r="AI11" s="24">
        <f t="shared" ref="AI11" si="34">AH11/V11</f>
        <v>6.9492600000000007</v>
      </c>
      <c r="AJ11" s="25">
        <f t="shared" ref="AJ11" si="35">AI11*18%</f>
        <v>1.2508668000000001</v>
      </c>
      <c r="AK11" s="26">
        <f t="shared" ref="AK11" si="36">AI11+AJ11</f>
        <v>8.2001268000000014</v>
      </c>
    </row>
  </sheetData>
  <mergeCells count="11">
    <mergeCell ref="C11:D11"/>
    <mergeCell ref="O11:P11"/>
    <mergeCell ref="B6:J6"/>
    <mergeCell ref="O8:P8"/>
    <mergeCell ref="O9:P9"/>
    <mergeCell ref="O10:P10"/>
    <mergeCell ref="C9:D9"/>
    <mergeCell ref="C10:D10"/>
    <mergeCell ref="B2:J2"/>
    <mergeCell ref="C4:D4"/>
    <mergeCell ref="O4:P4"/>
  </mergeCells>
  <phoneticPr fontId="17" type="noConversion"/>
  <pageMargins left="0.7" right="0.7" top="0.75" bottom="0.75" header="0.3" footer="0.3"/>
  <pageSetup paperSize="9" orientation="portrait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JUNIO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ADMINISTRACION - PC1</dc:creator>
  <cp:keywords/>
  <dc:description/>
  <cp:lastModifiedBy>Lady Diana Orellana Estrada</cp:lastModifiedBy>
  <cp:revision/>
  <dcterms:created xsi:type="dcterms:W3CDTF">2024-01-22T17:33:55Z</dcterms:created>
  <dcterms:modified xsi:type="dcterms:W3CDTF">2026-05-26T01:43:16Z</dcterms:modified>
  <cp:category/>
  <cp:contentStatus/>
</cp:coreProperties>
</file>