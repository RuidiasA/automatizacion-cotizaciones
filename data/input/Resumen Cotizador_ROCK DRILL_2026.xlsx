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ROCK DRILL/BD Cotizaciones/2026/"/>
    </mc:Choice>
  </mc:AlternateContent>
  <xr:revisionPtr revIDLastSave="158" documentId="13_ncr:1_{0C7DFD69-7FFC-405B-8CDF-2B7C10F77DD3}" xr6:coauthVersionLast="47" xr6:coauthVersionMax="47" xr10:uidLastSave="{344794ED-C5A7-4F53-B22D-B142416DFE71}"/>
  <bookViews>
    <workbookView xWindow="-120" yWindow="-120" windowWidth="29040" windowHeight="15720" xr2:uid="{00000000-000D-0000-FFFF-FFFF00000000}"/>
  </bookViews>
  <sheets>
    <sheet name="MAYO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6" l="1"/>
  <c r="W6" i="6" s="1"/>
  <c r="W5" i="6"/>
  <c r="X6" i="6"/>
  <c r="X5" i="6"/>
  <c r="AF6" i="6"/>
  <c r="AF5" i="6"/>
  <c r="AE6" i="6"/>
  <c r="V6" i="6"/>
  <c r="S6" i="6" l="1"/>
  <c r="T6" i="6" s="1"/>
  <c r="AE5" i="6"/>
  <c r="V5" i="6"/>
  <c r="U6" i="6" l="1"/>
  <c r="Y6" i="6" s="1"/>
  <c r="AG6" i="6" s="1"/>
  <c r="S5" i="6"/>
  <c r="AH6" i="6" l="1"/>
  <c r="AI6" i="6" s="1"/>
  <c r="T5" i="6"/>
  <c r="U5" i="6"/>
  <c r="Y5" i="6" s="1"/>
  <c r="AG5" i="6" s="1"/>
  <c r="AJ6" i="6" l="1"/>
  <c r="AK6" i="6" s="1"/>
  <c r="J6" i="6"/>
  <c r="K6" i="6" s="1"/>
  <c r="AH5" i="6"/>
  <c r="AI5" i="6" s="1"/>
  <c r="J5" i="6" l="1"/>
  <c r="K5" i="6" s="1"/>
  <c r="AJ5" i="6"/>
  <c r="AK5" i="6" s="1"/>
</calcChain>
</file>

<file path=xl/sharedStrings.xml><?xml version="1.0" encoding="utf-8"?>
<sst xmlns="http://schemas.openxmlformats.org/spreadsheetml/2006/main" count="49" uniqueCount="45">
  <si>
    <t>Nº</t>
  </si>
  <si>
    <t>Cód. Artíc.</t>
  </si>
  <si>
    <t>Artículo</t>
  </si>
  <si>
    <t>Foto</t>
  </si>
  <si>
    <t>Cant.</t>
  </si>
  <si>
    <t>Tiempo Entrega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</si>
  <si>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</si>
  <si>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</si>
  <si>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</si>
  <si>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</si>
  <si>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</si>
  <si>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</si>
  <si>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</si>
  <si>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</si>
  <si>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</si>
  <si>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</si>
  <si>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</si>
  <si>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</si>
  <si>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</si>
  <si>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</si>
  <si>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</si>
  <si>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</si>
  <si>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</si>
  <si>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</si>
  <si>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</si>
  <si>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</si>
  <si>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</si>
  <si>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</si>
  <si>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</si>
  <si>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</si>
  <si>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 xml:space="preserve">Costo uni. No IGV (S/.) </t>
  </si>
  <si>
    <t xml:space="preserve">Costo Total No IGV (S/.) </t>
  </si>
  <si>
    <t>Ya incluye</t>
  </si>
  <si>
    <t>Descripción</t>
  </si>
  <si>
    <t>Imagen Referencial</t>
  </si>
  <si>
    <t>8 a 9 Días útiles</t>
  </si>
  <si>
    <t xml:space="preserve">
TACHO RECICLADOR</t>
  </si>
  <si>
    <t>COTIZACIÓN PROPUESTA_ROCK DRILL_13.05.26</t>
  </si>
  <si>
    <r>
      <rPr>
        <b/>
        <u/>
        <sz val="16"/>
        <color rgb="FF000000"/>
        <rFont val="Arial"/>
        <family val="2"/>
      </rPr>
      <t xml:space="preserve">TACHO DE CARTON PARA RECICLAJE
</t>
    </r>
    <r>
      <rPr>
        <sz val="16"/>
        <color rgb="FF000000"/>
        <rFont val="Arial"/>
        <family val="2"/>
      </rPr>
      <t>Material: Carton corrugado 6mm (Contraplacado)
Medida: 70 x 40 x 40 cm
Con tapa para abrir y ventana transparente
Acabado: Troquelado
Presentación: Empaque Grupa</t>
    </r>
    <r>
      <rPr>
        <b/>
        <sz val="16"/>
        <color rgb="FF000000"/>
        <rFont val="Arial"/>
        <family val="2"/>
      </rPr>
      <t xml:space="preserve">l
</t>
    </r>
    <r>
      <rPr>
        <b/>
        <sz val="16"/>
        <color rgb="FFFF0000"/>
        <rFont val="Arial"/>
        <family val="2"/>
      </rPr>
      <t>*Incluye 1 logo a 2 colores por 1 lado</t>
    </r>
    <r>
      <rPr>
        <b/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 Arte y diseño  facilitado por cliente.</t>
    </r>
    <r>
      <rPr>
        <sz val="16"/>
        <color rgb="FF000000"/>
        <rFont val="Arial"/>
        <family val="2"/>
      </rPr>
      <t xml:space="preserve"> </t>
    </r>
  </si>
  <si>
    <t>VABINI</t>
  </si>
  <si>
    <t>Precio S/.67 +IGV C/U
Tiempo de entrega 3 dias
Muestra S/.67 +IGV mismo precio que la produccion</t>
  </si>
  <si>
    <t>KL GRAFIC</t>
  </si>
  <si>
    <t xml:space="preserve">S/ 248,00 Inc IGV
</t>
  </si>
  <si>
    <r>
      <rPr>
        <b/>
        <u/>
        <sz val="16"/>
        <color rgb="FF000000"/>
        <rFont val="Arial"/>
        <family val="2"/>
      </rPr>
      <t xml:space="preserve">
TACHO RECICLADOR
</t>
    </r>
    <r>
      <rPr>
        <sz val="16"/>
        <color rgb="FF000000"/>
        <rFont val="Arial"/>
        <family val="2"/>
      </rPr>
      <t xml:space="preserve">Material: MDF 5 .5 MM
Material: 40 cm x 40 cm x 70 cm
Caja tipo contenedor con tapa superior
Presentación: Empaque grupal
Incluye 1 papel sticker a full color en la parte central y un papel stciker en el costado a 1 color.
</t>
    </r>
    <r>
      <rPr>
        <b/>
        <sz val="16"/>
        <color rgb="FFFF0000"/>
        <rFont val="Arial"/>
        <family val="2"/>
      </rPr>
      <t>* Arte y diseño  facilitado por cliente.</t>
    </r>
    <r>
      <rPr>
        <b/>
        <sz val="16"/>
        <color rgb="FF000000"/>
        <rFont val="Arial"/>
        <family val="2"/>
      </rPr>
      <t xml:space="preserve"> </t>
    </r>
  </si>
  <si>
    <t xml:space="preserve">
TACHO RECICLADOR 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</si>
</sst>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S/.-280A]\ #,##0.00"/>
    <numFmt numFmtId="165" formatCode="&quot;S/.&quot;\ #,##0.00"/>
    <numFmt numFmtId="166" formatCode="_-[$$-409]* #,##0.00_ ;_-[$$-409]* \-#,##0.00\ ;_-[$$-409]* &quot;-&quot;??_ ;_-@_ "/>
    <numFmt numFmtId="167" formatCode="_(* #,##0_);_(* \(#,##0\);_(* &quot;-&quot;??_);_(@_)"/>
    <numFmt numFmtId="168" formatCode="_-* #,##0.00\ _€_-;\-* #,##0.00\ _€_-;_-* &quot;-&quot;??\ _€_-;_-@_-"/>
    <numFmt numFmtId="169" formatCode="[$$-409]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52"/>
      <name val="Tahoma"/>
      <family val="2"/>
      <charset val="1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color theme="1"/>
      <name val="Arial"/>
      <family val="2"/>
    </font>
    <font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6"/>
      <color indexed="10"/>
      <name val="Arial"/>
      <family val="2"/>
    </font>
    <font>
      <b/>
      <sz val="14"/>
      <color theme="1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Arial"/>
      <family val="2"/>
    </font>
    <font>
      <sz val="18"/>
      <color theme="1"/>
      <name val="Arial"/>
      <family val="2"/>
    </font>
    <font>
      <b/>
      <sz val="16"/>
      <color rgb="FF000000"/>
      <name val="Arial"/>
      <family val="2"/>
    </font>
    <font>
      <b/>
      <sz val="16"/>
      <color indexed="9"/>
      <name val="Arial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indexed="10"/>
      <name val="Arial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4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D9D9D9"/>
        <bgColor rgb="FF000000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1">
    <xf numFmtId="0" fontId="0" fillId="0" borderId="0"/>
    <xf numFmtId="0" fontId="2" fillId="0" borderId="0"/>
    <xf numFmtId="0" fontId="2" fillId="0" borderId="0"/>
    <xf numFmtId="0" fontId="1" fillId="0" borderId="0"/>
    <xf numFmtId="0" fontId="3" fillId="0" borderId="2" applyProtection="0">
      <alignment vertical="center"/>
    </xf>
    <xf numFmtId="0" fontId="2" fillId="0" borderId="0"/>
    <xf numFmtId="0" fontId="1" fillId="0" borderId="0"/>
    <xf numFmtId="0" fontId="1" fillId="0" borderId="0"/>
    <xf numFmtId="166" fontId="5" fillId="0" borderId="0" applyFont="0" applyFill="0" applyBorder="0" applyAlignment="0" applyProtection="0"/>
    <xf numFmtId="0" fontId="2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0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6" fillId="0" borderId="0" xfId="1" applyFont="1"/>
    <xf numFmtId="0" fontId="11" fillId="0" borderId="0" xfId="0" applyFont="1"/>
    <xf numFmtId="0" fontId="13" fillId="0" borderId="0" xfId="0" applyFont="1"/>
    <xf numFmtId="165" fontId="14" fillId="3" borderId="1" xfId="1" applyNumberFormat="1" applyFont="1" applyFill="1" applyBorder="1" applyAlignment="1">
      <alignment horizontal="center" vertical="center"/>
    </xf>
    <xf numFmtId="165" fontId="15" fillId="3" borderId="1" xfId="1" applyNumberFormat="1" applyFont="1" applyFill="1" applyBorder="1" applyAlignment="1">
      <alignment horizontal="center" vertical="center"/>
    </xf>
    <xf numFmtId="0" fontId="4" fillId="0" borderId="0" xfId="0" applyFont="1"/>
    <xf numFmtId="0" fontId="21" fillId="0" borderId="0" xfId="0" applyFont="1"/>
    <xf numFmtId="0" fontId="11" fillId="2" borderId="0" xfId="0" applyFont="1" applyFill="1"/>
    <xf numFmtId="0" fontId="13" fillId="2" borderId="0" xfId="0" applyFont="1" applyFill="1"/>
    <xf numFmtId="0" fontId="8" fillId="0" borderId="0" xfId="1" applyFont="1" applyAlignment="1">
      <alignment horizontal="center" wrapText="1"/>
    </xf>
    <xf numFmtId="0" fontId="8" fillId="2" borderId="0" xfId="1" applyFont="1" applyFill="1" applyAlignment="1">
      <alignment horizontal="center" wrapText="1"/>
    </xf>
    <xf numFmtId="0" fontId="13" fillId="0" borderId="0" xfId="0" applyFont="1" applyAlignment="1">
      <alignment horizontal="center" wrapText="1"/>
    </xf>
    <xf numFmtId="0" fontId="8" fillId="0" borderId="0" xfId="1" applyFont="1"/>
    <xf numFmtId="0" fontId="7" fillId="3" borderId="1" xfId="1" applyFont="1" applyFill="1" applyBorder="1" applyAlignment="1">
      <alignment horizontal="center" vertical="center" wrapText="1"/>
    </xf>
    <xf numFmtId="0" fontId="23" fillId="5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23" fillId="6" borderId="1" xfId="1" applyFont="1" applyFill="1" applyBorder="1" applyAlignment="1">
      <alignment horizontal="center" vertical="center" wrapText="1"/>
    </xf>
    <xf numFmtId="0" fontId="20" fillId="6" borderId="1" xfId="1" applyFont="1" applyFill="1" applyBorder="1" applyAlignment="1">
      <alignment horizontal="center" vertical="center" wrapText="1"/>
    </xf>
    <xf numFmtId="9" fontId="20" fillId="6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6" fillId="9" borderId="1" xfId="1" applyNumberFormat="1" applyFont="1" applyFill="1" applyBorder="1" applyAlignment="1">
      <alignment horizontal="center" vertical="center"/>
    </xf>
    <xf numFmtId="164" fontId="28" fillId="9" borderId="1" xfId="1" applyNumberFormat="1" applyFont="1" applyFill="1" applyBorder="1" applyAlignment="1">
      <alignment horizontal="center" vertical="center"/>
    </xf>
    <xf numFmtId="164" fontId="27" fillId="9" borderId="1" xfId="6" applyNumberFormat="1" applyFont="1" applyFill="1" applyBorder="1" applyAlignment="1">
      <alignment horizontal="center" vertical="center"/>
    </xf>
    <xf numFmtId="165" fontId="23" fillId="11" borderId="1" xfId="1" applyNumberFormat="1" applyFont="1" applyFill="1" applyBorder="1" applyAlignment="1">
      <alignment horizontal="center" vertical="center"/>
    </xf>
    <xf numFmtId="165" fontId="27" fillId="0" borderId="1" xfId="1" applyNumberFormat="1" applyFont="1" applyBorder="1" applyAlignment="1">
      <alignment horizontal="center" vertical="center"/>
    </xf>
    <xf numFmtId="165" fontId="27" fillId="13" borderId="1" xfId="1" applyNumberFormat="1" applyFont="1" applyFill="1" applyBorder="1" applyAlignment="1">
      <alignment horizontal="center" vertical="center"/>
    </xf>
    <xf numFmtId="165" fontId="24" fillId="0" borderId="1" xfId="1" applyNumberFormat="1" applyFont="1" applyBorder="1" applyAlignment="1">
      <alignment horizontal="center" vertical="center"/>
    </xf>
    <xf numFmtId="165" fontId="19" fillId="2" borderId="1" xfId="1" applyNumberFormat="1" applyFont="1" applyFill="1" applyBorder="1" applyAlignment="1">
      <alignment horizontal="center" vertical="center"/>
    </xf>
    <xf numFmtId="0" fontId="29" fillId="2" borderId="3" xfId="29" applyFont="1" applyFill="1" applyBorder="1"/>
    <xf numFmtId="0" fontId="9" fillId="8" borderId="1" xfId="1" applyFont="1" applyFill="1" applyBorder="1" applyAlignment="1">
      <alignment horizontal="center" vertical="center"/>
    </xf>
    <xf numFmtId="165" fontId="16" fillId="14" borderId="1" xfId="1" applyNumberFormat="1" applyFont="1" applyFill="1" applyBorder="1" applyAlignment="1">
      <alignment horizontal="center" vertical="center"/>
    </xf>
    <xf numFmtId="0" fontId="32" fillId="12" borderId="1" xfId="1" applyFont="1" applyFill="1" applyBorder="1" applyAlignment="1">
      <alignment horizontal="center" vertical="center"/>
    </xf>
    <xf numFmtId="165" fontId="33" fillId="9" borderId="1" xfId="1" applyNumberFormat="1" applyFont="1" applyFill="1" applyBorder="1" applyAlignment="1">
      <alignment horizontal="center" vertical="center"/>
    </xf>
    <xf numFmtId="0" fontId="8" fillId="0" borderId="4" xfId="1" applyFont="1" applyBorder="1"/>
    <xf numFmtId="0" fontId="8" fillId="0" borderId="1" xfId="1" applyFont="1" applyBorder="1"/>
    <xf numFmtId="0" fontId="26" fillId="0" borderId="5" xfId="1" applyFont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/>
    </xf>
    <xf numFmtId="0" fontId="18" fillId="0" borderId="5" xfId="1" applyFont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" fontId="27" fillId="2" borderId="5" xfId="1" applyNumberFormat="1" applyFont="1" applyFill="1" applyBorder="1" applyAlignment="1">
      <alignment horizontal="center" vertical="center" wrapText="1"/>
    </xf>
    <xf numFmtId="49" fontId="8" fillId="2" borderId="5" xfId="1" applyNumberFormat="1" applyFont="1" applyFill="1" applyBorder="1" applyAlignment="1">
      <alignment horizontal="center" vertical="center" wrapText="1"/>
    </xf>
    <xf numFmtId="0" fontId="17" fillId="4" borderId="5" xfId="1" applyFont="1" applyFill="1" applyBorder="1" applyAlignment="1">
      <alignment horizontal="center" vertical="center" wrapText="1"/>
    </xf>
    <xf numFmtId="0" fontId="17" fillId="4" borderId="5" xfId="6" applyFont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169" fontId="8" fillId="0" borderId="5" xfId="7" applyNumberFormat="1" applyFont="1" applyBorder="1" applyAlignment="1">
      <alignment horizontal="left" vertical="center" wrapText="1"/>
    </xf>
    <xf numFmtId="49" fontId="13" fillId="15" borderId="6" xfId="1" applyNumberFormat="1" applyFont="1" applyFill="1" applyBorder="1" applyAlignment="1">
      <alignment horizontal="center" vertical="center" wrapText="1"/>
    </xf>
    <xf numFmtId="167" fontId="9" fillId="2" borderId="5" xfId="12" applyNumberFormat="1" applyFont="1" applyFill="1" applyBorder="1" applyAlignment="1">
      <alignment horizontal="center" vertical="center" wrapText="1"/>
    </xf>
    <xf numFmtId="0" fontId="22" fillId="7" borderId="5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9" fontId="8" fillId="0" borderId="0" xfId="30" applyFont="1" applyAlignment="1">
      <alignment horizontal="center" vertical="center"/>
    </xf>
    <xf numFmtId="0" fontId="10" fillId="5" borderId="8" xfId="1" applyFont="1" applyFill="1" applyBorder="1" applyAlignment="1">
      <alignment horizontal="center" vertical="center" wrapText="1"/>
    </xf>
    <xf numFmtId="49" fontId="13" fillId="15" borderId="9" xfId="1" applyNumberFormat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wrapText="1"/>
    </xf>
    <xf numFmtId="164" fontId="6" fillId="0" borderId="1" xfId="1" applyNumberFormat="1" applyFont="1" applyBorder="1" applyAlignment="1">
      <alignment horizontal="center" vertical="center"/>
    </xf>
    <xf numFmtId="0" fontId="9" fillId="16" borderId="1" xfId="1" applyFont="1" applyFill="1" applyBorder="1" applyAlignment="1">
      <alignment horizontal="center" vertical="center"/>
    </xf>
    <xf numFmtId="164" fontId="27" fillId="14" borderId="1" xfId="1" applyNumberFormat="1" applyFont="1" applyFill="1" applyBorder="1" applyAlignment="1">
      <alignment horizontal="center" vertical="center"/>
    </xf>
    <xf numFmtId="165" fontId="6" fillId="7" borderId="1" xfId="1" applyNumberFormat="1" applyFont="1" applyFill="1" applyBorder="1" applyAlignment="1">
      <alignment horizontal="center" vertical="center" wrapText="1"/>
    </xf>
    <xf numFmtId="165" fontId="34" fillId="10" borderId="1" xfId="1" applyNumberFormat="1" applyFont="1" applyFill="1" applyBorder="1" applyAlignment="1">
      <alignment horizontal="center" vertical="center"/>
    </xf>
  </cellXfs>
  <cellStyles count="31">
    <cellStyle name="Excel Built-in Explanatory Text" xfId="4" xr:uid="{00000000-0005-0000-0000-000000000000}"/>
    <cellStyle name="Hipervínculo 4" xfId="28" xr:uid="{B83062DE-737F-4710-A1B4-460991CEE8F7}"/>
    <cellStyle name="Millares 2" xfId="17" xr:uid="{00000000-0005-0000-0000-000001000000}"/>
    <cellStyle name="Millares 2 2 3 2 2" xfId="8" xr:uid="{00000000-0005-0000-0000-000002000000}"/>
    <cellStyle name="Millares 2 2 3 2 2 2" xfId="10" xr:uid="{00000000-0005-0000-0000-000003000000}"/>
    <cellStyle name="Millares 2 2 3 2 2 2 2 2 2 2" xfId="12" xr:uid="{00000000-0005-0000-0000-000004000000}"/>
    <cellStyle name="Millares 2 2 3 2 2 2 2 2 2 2 2" xfId="22" xr:uid="{00000000-0005-0000-0000-000005000000}"/>
    <cellStyle name="Millares 2 2 3 2 2 2 2 2 2 2 2 2" xfId="24" xr:uid="{A7B865BF-101B-498D-8229-E17F1A732054}"/>
    <cellStyle name="Millares 2 2 3 2 2 2 2 2 3" xfId="23" xr:uid="{DC8E909D-D111-402D-ABA1-89A9C9D5BD06}"/>
    <cellStyle name="Millares 2 2 3 2 2 2 2 4" xfId="15" xr:uid="{00000000-0005-0000-0000-000006000000}"/>
    <cellStyle name="Millares 2 2 3 2 2 3 2" xfId="19" xr:uid="{00000000-0005-0000-0000-000007000000}"/>
    <cellStyle name="Millares 2 2 3 4" xfId="11" xr:uid="{00000000-0005-0000-0000-000008000000}"/>
    <cellStyle name="Millares 2 2 3 4 2 2 2 2 2" xfId="20" xr:uid="{00000000-0005-0000-0000-000009000000}"/>
    <cellStyle name="Millares 2 2 3 4 3" xfId="14" xr:uid="{00000000-0005-0000-0000-00000A000000}"/>
    <cellStyle name="Millares 3" xfId="18" xr:uid="{00000000-0005-0000-0000-00000B000000}"/>
    <cellStyle name="Normal" xfId="0" builtinId="0"/>
    <cellStyle name="Normal 10 2" xfId="5" xr:uid="{00000000-0005-0000-0000-00000D000000}"/>
    <cellStyle name="Normal 11" xfId="9" xr:uid="{00000000-0005-0000-0000-00000E000000}"/>
    <cellStyle name="Normal 11 3" xfId="29" xr:uid="{2CFBE8F0-D973-4790-9266-E4615ECE4782}"/>
    <cellStyle name="Normal 2 2" xfId="1" xr:uid="{00000000-0005-0000-0000-00000F000000}"/>
    <cellStyle name="Normal 2 2 6" xfId="21" xr:uid="{00000000-0005-0000-0000-000010000000}"/>
    <cellStyle name="Normal 2 3" xfId="7" xr:uid="{00000000-0005-0000-0000-000011000000}"/>
    <cellStyle name="Normal 2 3 2 2" xfId="16" xr:uid="{00000000-0005-0000-0000-000012000000}"/>
    <cellStyle name="Normal 2 3 2 2 4" xfId="27" xr:uid="{53A9DCB8-D450-4FB2-9AD0-554922E8464F}"/>
    <cellStyle name="Normal 3 3 2" xfId="13" xr:uid="{00000000-0005-0000-0000-000013000000}"/>
    <cellStyle name="Normal 3 3 2 5" xfId="26" xr:uid="{DFD98DD9-1EEC-48CD-A109-23DC682D5836}"/>
    <cellStyle name="Normal 3 4" xfId="3" xr:uid="{00000000-0005-0000-0000-000014000000}"/>
    <cellStyle name="Normal 3 4 2" xfId="6" xr:uid="{00000000-0005-0000-0000-000015000000}"/>
    <cellStyle name="Normal 3 4 2 4" xfId="25" xr:uid="{E609CEEC-AE0E-4621-B850-9C1FB81714D9}"/>
    <cellStyle name="Normal 4 2" xfId="2" xr:uid="{00000000-0005-0000-0000-000016000000}"/>
    <cellStyle name="Porcentaje" xfId="3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985922</xdr:colOff>
      <xdr:row>4</xdr:row>
      <xdr:rowOff>250658</xdr:rowOff>
    </xdr:from>
    <xdr:to>
      <xdr:col>4</xdr:col>
      <xdr:colOff>2664206</xdr:colOff>
      <xdr:row>4</xdr:row>
      <xdr:rowOff>2741798</xdr:rowOff>
    </xdr:to>
    <xdr:pic>
      <xdr:nvPicPr>
        <xdr:cNvPr id="511" name="Imagen 510">
          <a:extLst>
            <a:ext uri="{FF2B5EF4-FFF2-40B4-BE49-F238E27FC236}">
              <a16:creationId xmlns:a16="http://schemas.microsoft.com/office/drawing/2014/main" id="{1A4110E8-B7F5-E5E0-4425-2D575596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0790" y="1938421"/>
          <a:ext cx="1678284" cy="2491140"/>
        </a:xfrm>
        <a:prstGeom prst="rect">
          <a:avLst/>
        </a:prstGeom>
      </xdr:spPr>
    </xdr:pic>
    <xdr:clientData/>
  </xdr:twoCellAnchor>
  <xdr:oneCellAnchor>
    <xdr:from>
      <xdr:col>4</xdr:col>
      <xdr:colOff>985922</xdr:colOff>
      <xdr:row>5</xdr:row>
      <xdr:rowOff>250658</xdr:rowOff>
    </xdr:from>
    <xdr:ext cx="1678284" cy="2491140"/>
    <xdr:pic>
      <xdr:nvPicPr>
        <xdr:cNvPr id="2" name="Imagen 1">
          <a:extLst>
            <a:ext uri="{FF2B5EF4-FFF2-40B4-BE49-F238E27FC236}">
              <a16:creationId xmlns:a16="http://schemas.microsoft.com/office/drawing/2014/main" id="{B5082F4D-6AF5-4EA2-9645-326A07A9A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0790" y="1955132"/>
          <a:ext cx="1678284" cy="24911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89DD-1001-49ED-AE12-17E8766C619A}">
  <dimension ref="A2:DU6"/>
  <sheetViews>
    <sheetView showGridLines="0" tabSelected="1" zoomScale="57" zoomScaleNormal="57" workbookViewId="0">
      <selection activeCell="P6" sqref="P6"/>
    </sheetView>
  </sheetViews>
  <sheetFormatPr baseColWidth="10" defaultColWidth="11.42578125" defaultRowHeight="23.25" x14ac:dyDescent="0.35"/>
  <cols>
    <col min="1" max="1" width="3.5703125" style="9" customWidth="1"/>
    <col min="2" max="2" width="7" style="3" customWidth="1"/>
    <col min="3" max="3" width="14.85546875" style="3" customWidth="1"/>
    <col min="4" max="4" width="21.5703125" style="3" customWidth="1"/>
    <col min="5" max="5" width="51.140625" style="6" customWidth="1"/>
    <col min="6" max="6" width="14.7109375" style="7" customWidth="1"/>
    <col min="7" max="7" width="22.42578125" style="7" customWidth="1"/>
    <col min="8" max="8" width="19.42578125" style="3" customWidth="1"/>
    <col min="9" max="9" width="79.5703125" style="3" customWidth="1"/>
    <col min="10" max="10" width="26.140625" style="3" customWidth="1"/>
    <col min="11" max="11" width="14.140625" style="12" customWidth="1"/>
    <col min="12" max="12" width="5.7109375" style="6" customWidth="1"/>
    <col min="13" max="13" width="28.28515625" style="6" customWidth="1"/>
    <col min="14" max="14" width="15.42578125" style="6" customWidth="1"/>
    <col min="15" max="15" width="26.140625" style="6" customWidth="1"/>
    <col min="16" max="16" width="24.140625" style="6" customWidth="1"/>
    <col min="17" max="17" width="20.42578125" style="3" customWidth="1"/>
    <col min="18" max="18" width="11.85546875" style="3" bestFit="1" customWidth="1"/>
    <col min="19" max="19" width="22.5703125" style="3" customWidth="1"/>
    <col min="20" max="20" width="25.28515625" style="3" customWidth="1"/>
    <col min="21" max="21" width="15.42578125" style="3" bestFit="1" customWidth="1"/>
    <col min="22" max="22" width="18.140625" style="3" customWidth="1"/>
    <col min="23" max="23" width="17.5703125" style="20" customWidth="1"/>
    <col min="24" max="24" width="19.7109375" style="3" customWidth="1"/>
    <col min="25" max="25" width="23.42578125" style="3" customWidth="1"/>
    <col min="26" max="26" width="24" style="3" customWidth="1"/>
    <col min="27" max="27" width="18.42578125" style="3" bestFit="1" customWidth="1"/>
    <col min="28" max="30" width="11.85546875" style="3" bestFit="1" customWidth="1"/>
    <col min="31" max="31" width="24.140625" style="3" bestFit="1" customWidth="1"/>
    <col min="32" max="32" width="17.85546875" style="3" customWidth="1"/>
    <col min="33" max="33" width="18" style="3" bestFit="1" customWidth="1"/>
    <col min="34" max="34" width="21.7109375" style="3" customWidth="1"/>
    <col min="35" max="35" width="18.85546875" style="3" customWidth="1"/>
    <col min="36" max="36" width="19.28515625" style="3" customWidth="1"/>
    <col min="37" max="37" width="21.42578125" style="3" customWidth="1"/>
    <col min="38" max="16384" width="11.42578125" style="6"/>
  </cols>
  <sheetData>
    <row r="2" spans="1:125" x14ac:dyDescent="0.35"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125" s="2" customFormat="1" ht="25.5" customHeight="1" x14ac:dyDescent="0.3">
      <c r="A3" s="8"/>
      <c r="B3" s="49" t="s">
        <v>37</v>
      </c>
      <c r="C3" s="49"/>
      <c r="D3" s="49"/>
      <c r="E3" s="49"/>
      <c r="F3" s="49"/>
      <c r="G3" s="49"/>
      <c r="H3" s="49"/>
      <c r="I3" s="49"/>
      <c r="J3" s="49"/>
      <c r="K3" s="10"/>
      <c r="L3" s="1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13"/>
      <c r="AE3" s="13"/>
      <c r="AF3" s="13"/>
      <c r="AG3" s="13"/>
      <c r="AH3" s="13"/>
      <c r="AI3" s="13"/>
      <c r="AJ3" s="13"/>
      <c r="AK3" s="13"/>
    </row>
    <row r="4" spans="1:125" s="2" customFormat="1" ht="60.75" x14ac:dyDescent="0.3">
      <c r="A4" s="8"/>
      <c r="B4" s="42" t="s">
        <v>0</v>
      </c>
      <c r="C4" s="42" t="s">
        <v>1</v>
      </c>
      <c r="D4" s="42" t="s">
        <v>2</v>
      </c>
      <c r="E4" s="42" t="s">
        <v>3</v>
      </c>
      <c r="F4" s="42" t="s">
        <v>4</v>
      </c>
      <c r="G4" s="43" t="s">
        <v>30</v>
      </c>
      <c r="H4" s="43" t="s">
        <v>5</v>
      </c>
      <c r="I4" s="43" t="s">
        <v>33</v>
      </c>
      <c r="J4" s="43" t="s">
        <v>31</v>
      </c>
      <c r="K4" s="11"/>
      <c r="M4" s="44" t="s">
        <v>6</v>
      </c>
      <c r="N4" s="45" t="s">
        <v>7</v>
      </c>
      <c r="O4" s="52" t="s">
        <v>8</v>
      </c>
      <c r="P4" s="54" t="s">
        <v>9</v>
      </c>
      <c r="Q4" s="14" t="s">
        <v>10</v>
      </c>
      <c r="R4" s="14" t="s">
        <v>11</v>
      </c>
      <c r="S4" s="14" t="s">
        <v>12</v>
      </c>
      <c r="T4" s="14" t="s">
        <v>13</v>
      </c>
      <c r="U4" s="14" t="s">
        <v>14</v>
      </c>
      <c r="V4" s="14" t="s">
        <v>15</v>
      </c>
      <c r="W4" s="14" t="s">
        <v>16</v>
      </c>
      <c r="X4" s="15" t="s">
        <v>17</v>
      </c>
      <c r="Y4" s="15" t="s">
        <v>18</v>
      </c>
      <c r="Z4" s="16" t="s">
        <v>19</v>
      </c>
      <c r="AA4" s="16" t="s">
        <v>20</v>
      </c>
      <c r="AB4" s="16" t="s">
        <v>21</v>
      </c>
      <c r="AC4" s="16" t="s">
        <v>22</v>
      </c>
      <c r="AD4" s="16" t="s">
        <v>23</v>
      </c>
      <c r="AE4" s="16" t="s">
        <v>24</v>
      </c>
      <c r="AF4" s="15" t="s">
        <v>25</v>
      </c>
      <c r="AG4" s="15" t="s">
        <v>26</v>
      </c>
      <c r="AH4" s="17" t="s">
        <v>14</v>
      </c>
      <c r="AI4" s="18" t="s">
        <v>27</v>
      </c>
      <c r="AJ4" s="18" t="s">
        <v>28</v>
      </c>
      <c r="AK4" s="19" t="s">
        <v>29</v>
      </c>
    </row>
    <row r="5" spans="1:125" s="35" customFormat="1" ht="249.75" customHeight="1" x14ac:dyDescent="0.35">
      <c r="A5" s="29"/>
      <c r="B5" s="36">
        <v>1</v>
      </c>
      <c r="C5" s="48" t="s">
        <v>36</v>
      </c>
      <c r="D5" s="48"/>
      <c r="E5" s="37" t="s">
        <v>34</v>
      </c>
      <c r="F5" s="38">
        <v>8</v>
      </c>
      <c r="G5" s="39">
        <v>149</v>
      </c>
      <c r="H5" s="40" t="s">
        <v>35</v>
      </c>
      <c r="I5" s="46" t="s">
        <v>38</v>
      </c>
      <c r="J5" s="39">
        <f>+F5*G5</f>
        <v>1192</v>
      </c>
      <c r="K5" s="51">
        <f>T5/J5</f>
        <v>0.26530201342281878</v>
      </c>
      <c r="L5" s="13"/>
      <c r="M5" s="41" t="s">
        <v>39</v>
      </c>
      <c r="N5" s="47" t="s">
        <v>40</v>
      </c>
      <c r="O5" s="53"/>
      <c r="P5" s="55"/>
      <c r="Q5" s="56">
        <v>67</v>
      </c>
      <c r="R5" s="57">
        <v>59</v>
      </c>
      <c r="S5" s="58">
        <f t="shared" ref="S5:S6" si="0">Q5*R5/100</f>
        <v>39.53</v>
      </c>
      <c r="T5" s="4">
        <f t="shared" ref="T5:T6" si="1">S5*V5</f>
        <v>316.24</v>
      </c>
      <c r="U5" s="5">
        <f t="shared" ref="U5:U6" si="2">Q5+S5</f>
        <v>106.53</v>
      </c>
      <c r="V5" s="30">
        <f>F5</f>
        <v>8</v>
      </c>
      <c r="W5" s="31">
        <f>Q5</f>
        <v>67</v>
      </c>
      <c r="X5" s="27">
        <f>220</f>
        <v>220</v>
      </c>
      <c r="Y5" s="28">
        <f t="shared" ref="Y5:Y6" si="3">V5*U5+W5+X5</f>
        <v>1139.24</v>
      </c>
      <c r="Z5" s="59" t="s">
        <v>32</v>
      </c>
      <c r="AA5" s="26">
        <v>0</v>
      </c>
      <c r="AB5" s="32">
        <v>1</v>
      </c>
      <c r="AC5" s="32">
        <v>1</v>
      </c>
      <c r="AD5" s="32">
        <v>1</v>
      </c>
      <c r="AE5" s="33">
        <f t="shared" ref="AE5:AE6" si="4">AA5*AB5*AC5*AD5</f>
        <v>0</v>
      </c>
      <c r="AF5" s="60">
        <f>V5*3.85</f>
        <v>30.8</v>
      </c>
      <c r="AG5" s="21">
        <f>1.5%*(Y5+AE5+AF5)</f>
        <v>17.550599999999999</v>
      </c>
      <c r="AH5" s="25">
        <f t="shared" ref="AH5:AH6" si="5">Y5+AE5+AG5+AF5</f>
        <v>1187.5906</v>
      </c>
      <c r="AI5" s="24">
        <f t="shared" ref="AI5:AI6" si="6">AH5/V5</f>
        <v>148.448825</v>
      </c>
      <c r="AJ5" s="23">
        <f t="shared" ref="AJ5:AJ6" si="7">AI5*18%</f>
        <v>26.720788499999998</v>
      </c>
      <c r="AK5" s="22">
        <f t="shared" ref="AK5:AK6" si="8">AI5+AJ5</f>
        <v>175.1696135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34"/>
    </row>
    <row r="6" spans="1:125" s="35" customFormat="1" ht="249.75" customHeight="1" x14ac:dyDescent="0.35">
      <c r="A6" s="29"/>
      <c r="B6" s="36">
        <v>2</v>
      </c>
      <c r="C6" s="48" t="s">
        <v>44</v>
      </c>
      <c r="D6" s="48"/>
      <c r="E6" s="37" t="s">
        <v>34</v>
      </c>
      <c r="F6" s="38">
        <v>8</v>
      </c>
      <c r="G6" s="39">
        <v>359</v>
      </c>
      <c r="H6" s="40" t="s">
        <v>35</v>
      </c>
      <c r="I6" s="46" t="s">
        <v>43</v>
      </c>
      <c r="J6" s="39">
        <f>+F6*G6</f>
        <v>2872</v>
      </c>
      <c r="K6" s="51">
        <f>T6/J6</f>
        <v>0.23417213540437185</v>
      </c>
      <c r="L6" s="13"/>
      <c r="M6" s="41" t="s">
        <v>41</v>
      </c>
      <c r="N6" s="47" t="s">
        <v>42</v>
      </c>
      <c r="O6" s="53"/>
      <c r="P6" s="55"/>
      <c r="Q6" s="56">
        <f>248/1.18</f>
        <v>210.16949152542375</v>
      </c>
      <c r="R6" s="57">
        <v>40</v>
      </c>
      <c r="S6" s="58">
        <f t="shared" si="0"/>
        <v>84.067796610169495</v>
      </c>
      <c r="T6" s="4">
        <f t="shared" si="1"/>
        <v>672.54237288135596</v>
      </c>
      <c r="U6" s="5">
        <f t="shared" si="2"/>
        <v>294.23728813559325</v>
      </c>
      <c r="V6" s="30">
        <f>F6</f>
        <v>8</v>
      </c>
      <c r="W6" s="31">
        <f>Q6</f>
        <v>210.16949152542375</v>
      </c>
      <c r="X6" s="27">
        <f>220</f>
        <v>220</v>
      </c>
      <c r="Y6" s="28">
        <f t="shared" si="3"/>
        <v>2784.0677966101698</v>
      </c>
      <c r="Z6" s="59" t="s">
        <v>32</v>
      </c>
      <c r="AA6" s="26">
        <v>0</v>
      </c>
      <c r="AB6" s="32">
        <v>1</v>
      </c>
      <c r="AC6" s="32">
        <v>1</v>
      </c>
      <c r="AD6" s="32">
        <v>1</v>
      </c>
      <c r="AE6" s="33">
        <f t="shared" si="4"/>
        <v>0</v>
      </c>
      <c r="AF6" s="60">
        <f>V6*3.85</f>
        <v>30.8</v>
      </c>
      <c r="AG6" s="21">
        <f>1.5%*(Y6+AE6+AF6)</f>
        <v>42.223016949152552</v>
      </c>
      <c r="AH6" s="25">
        <f t="shared" si="5"/>
        <v>2857.0908135593227</v>
      </c>
      <c r="AI6" s="24">
        <f t="shared" si="6"/>
        <v>357.13635169491533</v>
      </c>
      <c r="AJ6" s="23">
        <f t="shared" si="7"/>
        <v>64.284543305084753</v>
      </c>
      <c r="AK6" s="22">
        <f t="shared" si="8"/>
        <v>421.42089500000009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34"/>
    </row>
  </sheetData>
  <mergeCells count="6">
    <mergeCell ref="C6:D6"/>
    <mergeCell ref="N6:O6"/>
    <mergeCell ref="N5:O5"/>
    <mergeCell ref="C5:D5"/>
    <mergeCell ref="B3:J3"/>
    <mergeCell ref="M3:AC3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</dc:creator>
  <cp:keywords/>
  <dc:description/>
  <cp:lastModifiedBy>Lady Diana Orellana Estrada</cp:lastModifiedBy>
  <cp:revision/>
  <dcterms:created xsi:type="dcterms:W3CDTF">2019-04-01T20:36:19Z</dcterms:created>
  <dcterms:modified xsi:type="dcterms:W3CDTF">2026-05-14T02:38:36Z</dcterms:modified>
  <cp:category/>
  <cp:contentStatus/>
</cp:coreProperties>
</file>