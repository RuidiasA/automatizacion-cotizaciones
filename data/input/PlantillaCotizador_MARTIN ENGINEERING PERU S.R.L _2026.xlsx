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6da6e6ee203775ab/ÁREA COMERCIAL/COMPIPRO/CLIENTES/Cotizados/MARTIN ENGINEERING PERU S.R.L/BD Cotizaciones/2026/"/>
    </mc:Choice>
  </mc:AlternateContent>
  <xr:revisionPtr revIDLastSave="1232" documentId="13_ncr:1_{1E5DE65D-6908-4EC3-99BC-80AFF0D7E3AF}" xr6:coauthVersionLast="47" xr6:coauthVersionMax="47" xr10:uidLastSave="{3F51FCF8-BA83-4F0E-BFFF-0158C7CB4CA9}"/>
  <bookViews>
    <workbookView xWindow="-120" yWindow="-120" windowWidth="29040" windowHeight="15720" xr2:uid="{00000000-000D-0000-FFFF-FFFF00000000}"/>
  </bookViews>
  <sheets>
    <sheet name="MAYO" sheetId="9" r:id="rId1"/>
  </sheets>
  <externalReferences>
    <externalReference r:id="rId2"/>
    <externalReference r:id="rId3"/>
  </externalReferences>
  <definedNames>
    <definedName name="ANALISIS">[1]LISTAS!$I$20:$I$27</definedName>
    <definedName name="ANALISIS1">[2]LISTAS!$I$20:$I$27</definedName>
    <definedName name="BAÑOS">[1]LISTAS!$F$32:$F$41</definedName>
    <definedName name="BAÑOS1">[2]LISTAS!$F$32:$F$41</definedName>
    <definedName name="CAMPAÑAS">[1]LISTAS!$A$10:$A$29</definedName>
    <definedName name="CATEGORIA">[1]LISTAS!$G$8:$J$8</definedName>
    <definedName name="EPOXICOS">[1]LISTAS!$F$20:$F$25</definedName>
    <definedName name="MATERIALES">'[1]BD INSUMOS'!$A$2:$A$142</definedName>
    <definedName name="MOD">[1]LISTAS!$F$42:$F$47</definedName>
    <definedName name="PROGRAMA">[1]LISTAS!$C$10:$C$14</definedName>
    <definedName name="SOLDADURAS">[1]LISTAS!$F$26:$F$31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D4" i="9" l="1"/>
  <c r="V4" i="9" l="1"/>
  <c r="P4" i="9"/>
  <c r="U4" i="9" l="1"/>
  <c r="AE4" i="9" s="1"/>
  <c r="R4" i="9"/>
  <c r="T4" i="9" s="1"/>
  <c r="X4" i="9" l="1"/>
  <c r="AF4" i="9" s="1"/>
  <c r="S4" i="9"/>
  <c r="AG4" i="9" l="1"/>
  <c r="AH4" i="9" s="1"/>
  <c r="J4" i="9" l="1"/>
  <c r="AI4" i="9"/>
  <c r="AJ4" i="9" s="1"/>
</calcChain>
</file>

<file path=xl/sharedStrings.xml><?xml version="1.0" encoding="utf-8"?>
<sst xmlns="http://schemas.openxmlformats.org/spreadsheetml/2006/main" count="43" uniqueCount="42">
  <si>
    <t>Nº</t>
  </si>
  <si>
    <t>Cód. Artíc.</t>
  </si>
  <si>
    <t>Art.</t>
  </si>
  <si>
    <t>Foto</t>
  </si>
  <si>
    <t>Cant.</t>
  </si>
  <si>
    <t>Costo Uni.
No  IGV (S/.)</t>
  </si>
  <si>
    <t xml:space="preserve">Tiempo Entrega </t>
  </si>
  <si>
    <t>Detalles</t>
  </si>
  <si>
    <t xml:space="preserve">Costo Total
No IGV (S/.) </t>
  </si>
  <si>
    <t>proveedor</t>
  </si>
  <si>
    <t>Cod. Prod. Prov.</t>
  </si>
  <si>
    <t>Obseraciones</t>
  </si>
  <si>
    <t>costo $</t>
  </si>
  <si>
    <t>COSTO S/.</t>
  </si>
  <si>
    <t>%</t>
  </si>
  <si>
    <t>Resultado</t>
  </si>
  <si>
    <t>Margen</t>
  </si>
  <si>
    <t>Total</t>
  </si>
  <si>
    <t>Cantidad</t>
  </si>
  <si>
    <t>Costo MUESTRA Unidad</t>
  </si>
  <si>
    <t>Movilidad</t>
  </si>
  <si>
    <t>Total Producto</t>
  </si>
  <si>
    <t>Tipo de Impresión</t>
  </si>
  <si>
    <t>Costo impresión</t>
  </si>
  <si>
    <t>Cant Color</t>
  </si>
  <si>
    <t>Cant Lados</t>
  </si>
  <si>
    <t>Cantidad por Millar</t>
  </si>
  <si>
    <t>Costo Impresión</t>
  </si>
  <si>
    <t>Empaq</t>
  </si>
  <si>
    <t>Seguro CRT</t>
  </si>
  <si>
    <t>Costo S/. Sin IGV</t>
  </si>
  <si>
    <t>I.G.V</t>
  </si>
  <si>
    <t>TOTAL</t>
  </si>
  <si>
    <t>c</t>
  </si>
  <si>
    <t>5 a 7 dias hábiles</t>
  </si>
  <si>
    <t>LIBRETA DE CUERINA A5  CODIGO: BC907</t>
  </si>
  <si>
    <t>Entrega en Ate vitarte
forma de trabajo 50/50</t>
  </si>
  <si>
    <t xml:space="preserve">S/ 580.00
+IGV
CHIPER </t>
  </si>
  <si>
    <t>CHIPER
CODIGO: BC907</t>
  </si>
  <si>
    <r>
      <rPr>
        <b/>
        <u/>
        <sz val="16"/>
        <color rgb="FF000000"/>
        <rFont val="Arial"/>
        <family val="2"/>
      </rPr>
      <t xml:space="preserve">LIBRETA DE CUERINA (biocuero) (A5)
</t>
    </r>
    <r>
      <rPr>
        <b/>
        <sz val="16"/>
        <color rgb="FF000000"/>
        <rFont val="Arial"/>
        <family val="2"/>
      </rPr>
      <t xml:space="preserve">Material: </t>
    </r>
    <r>
      <rPr>
        <sz val="16"/>
        <color rgb="FF000000"/>
        <rFont val="Arial"/>
        <family val="2"/>
      </rPr>
      <t xml:space="preserve">Libreta de </t>
    </r>
    <r>
      <rPr>
        <b/>
        <sz val="16"/>
        <color rgb="FF000000"/>
        <rFont val="Arial"/>
        <family val="2"/>
      </rPr>
      <t>biocuero tapa frontal y posterior,</t>
    </r>
    <r>
      <rPr>
        <sz val="16"/>
        <color rgb="FF000000"/>
        <rFont val="Arial"/>
        <family val="2"/>
      </rPr>
      <t xml:space="preserve"> A5 con separador de hojas y liga para lapiceros 
Medidas: 15 cm x 21 cm
</t>
    </r>
    <r>
      <rPr>
        <b/>
        <sz val="16"/>
        <color rgb="FF000000"/>
        <rFont val="Arial"/>
        <family val="2"/>
      </rPr>
      <t xml:space="preserve">INTERIOR: </t>
    </r>
    <r>
      <rPr>
        <sz val="16"/>
        <color rgb="FF000000"/>
        <rFont val="Arial"/>
        <family val="2"/>
      </rPr>
      <t xml:space="preserve">Hojas rayadas.
* Cantidad 80 hojas 1 color 
* Material, bond 75gr. color beige 
Incluye: Bolsa independiente
</t>
    </r>
    <r>
      <rPr>
        <b/>
        <sz val="16"/>
        <color rgb="FFFF0000"/>
        <rFont val="Arial"/>
        <family val="2"/>
      </rPr>
      <t xml:space="preserve">* Incluye aplicación de 1 logo en la tapa.
Arte y diseño debe ser facilitado por el cliente 
</t>
    </r>
    <r>
      <rPr>
        <b/>
        <sz val="16"/>
        <color rgb="FF002060"/>
        <rFont val="Arial"/>
        <family val="2"/>
      </rPr>
      <t xml:space="preserve"> 
</t>
    </r>
  </si>
  <si>
    <t>90.00 mas IGV 
por los 50
con logo grande en la portada
(HUGO LOZADA)</t>
  </si>
  <si>
    <t>COTIZACIÓN PROPUESTA_MARTIN ENGINEERING PERU__Libretas_02.06.2026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</si>
</sst>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164" formatCode="_-* #,##0.00\ _€_-;\-* #,##0.00\ _€_-;_-* &quot;-&quot;??\ _€_-;_-@_-"/>
    <numFmt numFmtId="165" formatCode="_ * #,##0.00_ ;_ * \-#,##0.00_ ;_ * &quot;-&quot;??_ ;_ @_ "/>
    <numFmt numFmtId="166" formatCode="_ &quot;S/.&quot;\ * #,##0.00_ ;_ &quot;S/.&quot;\ * \-#,##0.00_ ;_ &quot;S/.&quot;\ * &quot;-&quot;??_ ;_ @_ "/>
    <numFmt numFmtId="167" formatCode="&quot;S/.&quot;\ #,##0.00"/>
    <numFmt numFmtId="168" formatCode="[$S/.-280A]\ #,##0.00"/>
    <numFmt numFmtId="169" formatCode="_-[$$-409]* #,##0.00_ ;_-[$$-409]* \-#,##0.00\ ;_-[$$-409]* &quot;-&quot;??_ ;_-@_ "/>
    <numFmt numFmtId="170" formatCode="_(* #,##0.00_);_(* \(#,##0.00\);_(* &quot;-&quot;??_);_(@_)"/>
    <numFmt numFmtId="171" formatCode="_(&quot;$&quot;* #,##0.00_);_(&quot;$&quot;* \(#,##0.00\);_(&quot;$&quot;* &quot;-&quot;??_);_(@_)"/>
    <numFmt numFmtId="172" formatCode="_(* #,##0_);_(* \(#,##0\);_(* &quot;-&quot;_);_(@_)"/>
    <numFmt numFmtId="173" formatCode="_(&quot;$&quot;* #,##0_);_(&quot;$&quot;* \(#,##0\);_(&quot;$&quot;* &quot;-&quot;_);_(@_)"/>
    <numFmt numFmtId="174" formatCode="_([$€-2]\ * #,##0.00_);_([$€-2]\ * \(#,##0.00\);_([$€-2]\ * &quot;-&quot;??_)"/>
    <numFmt numFmtId="175" formatCode="_-[$€]* #,##0.00_-;\-[$€]* #,##0.00_-;_-[$€]* &quot;-&quot;??_-;_-@_-"/>
    <numFmt numFmtId="176" formatCode="[$S/.-280A]\ #,##0.000"/>
    <numFmt numFmtId="177" formatCode="_ &quot;S/.&quot;* #,##0.00_ ;_ &quot;S/.&quot;* \-#,##0.00_ ;_ &quot;S/.&quot;* &quot;-&quot;??_ ;_ @_ "/>
    <numFmt numFmtId="178" formatCode="_(&quot;S/.&quot;\ * #,##0.00_);_(&quot;S/.&quot;\ * \(#,##0.00\);_(&quot;S/.&quot;\ * &quot;-&quot;??_);_(@_)"/>
    <numFmt numFmtId="179" formatCode="_(* #,##0_);_(* \(#,##0\);_(* &quot;-&quot;??_);_(@_)"/>
    <numFmt numFmtId="180" formatCode="#,##0.00&quot; € &quot;;\-#,##0.00&quot; € &quot;;&quot; -&quot;#&quot; € &quot;;@\ "/>
  </numFmts>
  <fonts count="7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  <font>
      <b/>
      <sz val="16"/>
      <name val="Arial"/>
      <family val="2"/>
    </font>
    <font>
      <sz val="16"/>
      <name val="Arial"/>
      <family val="2"/>
    </font>
    <font>
      <sz val="11"/>
      <color indexed="8"/>
      <name val="Calibri"/>
      <family val="2"/>
    </font>
    <font>
      <sz val="11"/>
      <color indexed="52"/>
      <name val="Tahoma"/>
      <family val="2"/>
      <charset val="1"/>
    </font>
    <font>
      <sz val="10"/>
      <name val="Times New Roman"/>
      <family val="1"/>
    </font>
    <font>
      <u/>
      <sz val="7.5"/>
      <color indexed="12"/>
      <name val="Arial"/>
      <family val="2"/>
    </font>
    <font>
      <sz val="10"/>
      <color indexed="8"/>
      <name val="Arial"/>
      <family val="2"/>
    </font>
    <font>
      <sz val="12"/>
      <name val="宋体"/>
      <charset val="134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sz val="11"/>
      <color indexed="62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1"/>
      <color indexed="8"/>
      <name val="Calibri"/>
      <family val="2"/>
    </font>
    <font>
      <sz val="11"/>
      <color indexed="8"/>
      <name val="Tahoma"/>
      <family val="2"/>
    </font>
    <font>
      <sz val="11"/>
      <color indexed="9"/>
      <name val="Tahoma"/>
      <family val="2"/>
    </font>
    <font>
      <b/>
      <sz val="11"/>
      <color indexed="62"/>
      <name val="Calibri"/>
      <family val="2"/>
    </font>
    <font>
      <sz val="11"/>
      <color indexed="16"/>
      <name val="Calibri"/>
      <family val="2"/>
    </font>
    <font>
      <sz val="11"/>
      <color indexed="19"/>
      <name val="Calibri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8"/>
      <color indexed="62"/>
      <name val="Cambria"/>
      <family val="2"/>
    </font>
    <font>
      <sz val="11"/>
      <color indexed="17"/>
      <name val="Tahoma"/>
      <family val="2"/>
    </font>
    <font>
      <sz val="11"/>
      <color indexed="20"/>
      <name val="Tahoma"/>
      <family val="2"/>
    </font>
    <font>
      <b/>
      <sz val="18"/>
      <color indexed="56"/>
      <name val="宋体"/>
      <charset val="134"/>
    </font>
    <font>
      <b/>
      <sz val="15"/>
      <color indexed="56"/>
      <name val="Tahoma"/>
      <family val="2"/>
    </font>
    <font>
      <b/>
      <sz val="13"/>
      <color indexed="56"/>
      <name val="Tahoma"/>
      <family val="2"/>
    </font>
    <font>
      <b/>
      <sz val="11"/>
      <color indexed="56"/>
      <name val="Tahoma"/>
      <family val="2"/>
    </font>
    <font>
      <b/>
      <sz val="11"/>
      <color indexed="9"/>
      <name val="Tahoma"/>
      <family val="2"/>
    </font>
    <font>
      <b/>
      <sz val="11"/>
      <color indexed="8"/>
      <name val="Tahoma"/>
      <family val="2"/>
    </font>
    <font>
      <i/>
      <sz val="11"/>
      <color indexed="23"/>
      <name val="Tahoma"/>
      <family val="2"/>
    </font>
    <font>
      <sz val="11"/>
      <color indexed="10"/>
      <name val="Tahoma"/>
      <family val="2"/>
    </font>
    <font>
      <b/>
      <sz val="11"/>
      <color indexed="52"/>
      <name val="Tahoma"/>
      <family val="2"/>
    </font>
    <font>
      <sz val="11"/>
      <color indexed="62"/>
      <name val="Tahoma"/>
      <family val="2"/>
    </font>
    <font>
      <b/>
      <sz val="11"/>
      <color indexed="63"/>
      <name val="Tahoma"/>
      <family val="2"/>
    </font>
    <font>
      <sz val="11"/>
      <color indexed="60"/>
      <name val="Tahoma"/>
      <family val="2"/>
    </font>
    <font>
      <sz val="11"/>
      <color indexed="52"/>
      <name val="Tahoma"/>
      <family val="2"/>
    </font>
    <font>
      <sz val="11"/>
      <color theme="1"/>
      <name val="Calibri"/>
      <family val="2"/>
      <scheme val="minor"/>
    </font>
    <font>
      <u/>
      <sz val="6.05"/>
      <color theme="10"/>
      <name val="Calibri"/>
      <family val="2"/>
    </font>
    <font>
      <b/>
      <sz val="18"/>
      <name val="Arial"/>
      <family val="2"/>
    </font>
    <font>
      <sz val="16"/>
      <color theme="1"/>
      <name val="Arial"/>
      <family val="2"/>
    </font>
    <font>
      <sz val="11"/>
      <color rgb="FF000000"/>
      <name val="Calibri"/>
      <family val="2"/>
    </font>
    <font>
      <b/>
      <sz val="16"/>
      <color rgb="FFFF0000"/>
      <name val="Arial"/>
      <family val="2"/>
    </font>
    <font>
      <sz val="18"/>
      <name val="Arial"/>
      <family val="2"/>
    </font>
    <font>
      <b/>
      <sz val="16"/>
      <color theme="1"/>
      <name val="Arial"/>
      <family val="2"/>
    </font>
    <font>
      <sz val="16"/>
      <color theme="0" tint="-4.9989318521683403E-2"/>
      <name val="Calibri"/>
      <family val="2"/>
    </font>
    <font>
      <sz val="16"/>
      <color theme="0" tint="-4.9989318521683403E-2"/>
      <name val="Calibri"/>
      <family val="2"/>
      <scheme val="minor"/>
    </font>
    <font>
      <sz val="12"/>
      <name val="Arial"/>
      <family val="2"/>
    </font>
    <font>
      <b/>
      <u/>
      <sz val="16"/>
      <color rgb="FF000000"/>
      <name val="Arial"/>
      <family val="2"/>
    </font>
    <font>
      <sz val="16"/>
      <color rgb="FF000000"/>
      <name val="Arial"/>
      <family val="2"/>
    </font>
    <font>
      <b/>
      <sz val="18"/>
      <color theme="1"/>
      <name val="Arial"/>
      <family val="2"/>
    </font>
    <font>
      <sz val="18"/>
      <color theme="1"/>
      <name val="Arial"/>
      <family val="2"/>
    </font>
    <font>
      <b/>
      <sz val="18"/>
      <color theme="0"/>
      <name val="Arial"/>
      <family val="2"/>
    </font>
    <font>
      <sz val="18"/>
      <color rgb="FFFF0000"/>
      <name val="Arial"/>
      <family val="2"/>
    </font>
    <font>
      <sz val="18"/>
      <color rgb="FF000000"/>
      <name val="Arial"/>
      <family val="2"/>
    </font>
    <font>
      <b/>
      <sz val="18"/>
      <color rgb="FFFF0000"/>
      <name val="Arial"/>
      <family val="2"/>
    </font>
    <font>
      <b/>
      <sz val="18"/>
      <color indexed="9"/>
      <name val="Arial"/>
      <family val="2"/>
    </font>
    <font>
      <b/>
      <sz val="18"/>
      <color rgb="FF333333"/>
      <name val="Arial"/>
      <family val="2"/>
    </font>
    <font>
      <sz val="18"/>
      <color rgb="FF333333"/>
      <name val="Arial"/>
      <family val="2"/>
    </font>
    <font>
      <b/>
      <sz val="18"/>
      <color rgb="FFFFFFFF"/>
      <name val="Arial"/>
      <family val="2"/>
    </font>
    <font>
      <b/>
      <sz val="16"/>
      <color rgb="FF000000"/>
      <name val="Arial"/>
      <family val="2"/>
    </font>
    <font>
      <sz val="11"/>
      <color theme="1"/>
      <name val="Arial"/>
      <family val="2"/>
    </font>
    <font>
      <b/>
      <sz val="16"/>
      <color rgb="FF002060"/>
      <name val="Arial"/>
      <family val="2"/>
    </font>
    <font>
      <sz val="11"/>
      <color rgb="FFFF0000"/>
      <name val="Arial"/>
      <family val="2"/>
    </font>
  </fonts>
  <fills count="51">
    <fill>
      <patternFill patternType="none"/>
    </fill>
    <fill>
      <patternFill patternType="gray125"/>
    </fill>
    <fill>
      <patternFill patternType="solid">
        <fgColor indexed="9"/>
        <bgColor indexed="26"/>
      </patternFill>
    </fill>
    <fill>
      <patternFill patternType="solid">
        <fgColor indexed="47"/>
        <bgColor indexed="22"/>
      </patternFill>
    </fill>
    <fill>
      <patternFill patternType="solid">
        <fgColor indexed="26"/>
        <bgColor indexed="9"/>
      </patternFill>
    </fill>
    <fill>
      <patternFill patternType="solid">
        <fgColor indexed="27"/>
        <bgColor indexed="41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2"/>
        <bgColor indexed="31"/>
      </patternFill>
    </fill>
    <fill>
      <patternFill patternType="solid">
        <fgColor indexed="29"/>
        <bgColor indexed="51"/>
      </patternFill>
    </fill>
    <fill>
      <patternFill patternType="solid">
        <fgColor indexed="43"/>
        <bgColor indexed="26"/>
      </patternFill>
    </fill>
    <fill>
      <patternFill patternType="solid">
        <fgColor indexed="44"/>
        <bgColor indexed="31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9"/>
        <bgColor indexed="40"/>
      </patternFill>
    </fill>
    <fill>
      <patternFill patternType="solid">
        <fgColor indexed="3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42"/>
        <bgColor indexed="27"/>
      </patternFill>
    </fill>
    <fill>
      <patternFill patternType="solid">
        <fgColor indexed="55"/>
        <bgColor indexed="23"/>
      </patternFill>
    </fill>
    <fill>
      <patternFill patternType="solid">
        <fgColor indexed="10"/>
        <bgColor indexed="60"/>
      </patternFill>
    </fill>
    <fill>
      <patternFill patternType="solid">
        <fgColor indexed="57"/>
        <bgColor indexed="21"/>
      </patternFill>
    </fill>
    <fill>
      <patternFill patternType="solid">
        <fgColor indexed="54"/>
        <bgColor indexed="23"/>
      </patternFill>
    </fill>
    <fill>
      <patternFill patternType="solid">
        <fgColor indexed="53"/>
        <bgColor indexed="52"/>
      </patternFill>
    </fill>
    <fill>
      <patternFill patternType="solid">
        <fgColor indexed="45"/>
        <bgColor indexed="29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5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indexed="9"/>
        <bgColor indexed="8"/>
      </patternFill>
    </fill>
    <fill>
      <patternFill patternType="solid">
        <fgColor rgb="FFFFFF00"/>
        <bgColor rgb="FF000000"/>
      </patternFill>
    </fill>
    <fill>
      <patternFill patternType="solid">
        <fgColor rgb="FFFF0000"/>
        <bgColor rgb="FF000000"/>
      </patternFill>
    </fill>
    <fill>
      <patternFill patternType="solid">
        <fgColor theme="0" tint="-0.14999847407452621"/>
        <bgColor rgb="FF000000"/>
      </patternFill>
    </fill>
  </fills>
  <borders count="1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ck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49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50">
    <xf numFmtId="0" fontId="0" fillId="0" borderId="0"/>
    <xf numFmtId="0" fontId="7" fillId="0" borderId="0" applyNumberFormat="0" applyFill="0" applyBorder="0" applyAlignment="0" applyProtection="0"/>
    <xf numFmtId="0" fontId="2" fillId="0" borderId="0"/>
    <xf numFmtId="170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2" borderId="0" applyNumberFormat="0" applyBorder="0" applyAlignment="0" applyProtection="0"/>
    <xf numFmtId="0" fontId="1" fillId="5" borderId="0" applyNumberFormat="0" applyBorder="0" applyAlignment="0" applyProtection="0"/>
    <xf numFmtId="0" fontId="1" fillId="3" borderId="0" applyNumberFormat="0" applyBorder="0" applyAlignment="0" applyProtection="0"/>
    <xf numFmtId="0" fontId="21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3" borderId="0" applyNumberFormat="0" applyBorder="0" applyAlignment="0" applyProtection="0"/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11" fillId="20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2" borderId="0" applyNumberFormat="0" applyBorder="0" applyAlignment="0" applyProtection="0"/>
    <xf numFmtId="0" fontId="11" fillId="20" borderId="0" applyNumberFormat="0" applyBorder="0" applyAlignment="0" applyProtection="0"/>
    <xf numFmtId="0" fontId="11" fillId="3" borderId="0" applyNumberFormat="0" applyBorder="0" applyAlignment="0" applyProtection="0"/>
    <xf numFmtId="0" fontId="22" fillId="21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12" fillId="25" borderId="0" applyNumberFormat="0" applyBorder="0" applyAlignment="0" applyProtection="0"/>
    <xf numFmtId="0" fontId="13" fillId="2" borderId="1" applyNumberFormat="0" applyAlignment="0" applyProtection="0"/>
    <xf numFmtId="0" fontId="13" fillId="2" borderId="1" applyNumberFormat="0" applyAlignment="0" applyProtection="0"/>
    <xf numFmtId="0" fontId="13" fillId="2" borderId="1" applyNumberFormat="0" applyAlignment="0" applyProtection="0"/>
    <xf numFmtId="0" fontId="2" fillId="0" borderId="0"/>
    <xf numFmtId="0" fontId="14" fillId="26" borderId="2" applyNumberFormat="0" applyAlignment="0" applyProtection="0"/>
    <xf numFmtId="0" fontId="15" fillId="0" borderId="3" applyNumberFormat="0" applyFill="0" applyAlignment="0" applyProtection="0"/>
    <xf numFmtId="0" fontId="23" fillId="0" borderId="0" applyNumberFormat="0" applyFill="0" applyBorder="0" applyAlignment="0" applyProtection="0"/>
    <xf numFmtId="0" fontId="11" fillId="20" borderId="0" applyNumberFormat="0" applyBorder="0" applyAlignment="0" applyProtection="0"/>
    <xf numFmtId="0" fontId="11" fillId="27" borderId="0" applyNumberFormat="0" applyBorder="0" applyAlignment="0" applyProtection="0"/>
    <xf numFmtId="0" fontId="11" fillId="28" borderId="0" applyNumberFormat="0" applyBorder="0" applyAlignment="0" applyProtection="0"/>
    <xf numFmtId="0" fontId="11" fillId="29" borderId="0" applyNumberFormat="0" applyBorder="0" applyAlignment="0" applyProtection="0"/>
    <xf numFmtId="0" fontId="11" fillId="20" borderId="0" applyNumberFormat="0" applyBorder="0" applyAlignment="0" applyProtection="0"/>
    <xf numFmtId="0" fontId="11" fillId="30" borderId="0" applyNumberFormat="0" applyBorder="0" applyAlignment="0" applyProtection="0"/>
    <xf numFmtId="0" fontId="16" fillId="3" borderId="1" applyNumberFormat="0" applyAlignment="0" applyProtection="0"/>
    <xf numFmtId="0" fontId="16" fillId="3" borderId="1" applyNumberFormat="0" applyAlignment="0" applyProtection="0"/>
    <xf numFmtId="0" fontId="16" fillId="3" borderId="1" applyNumberFormat="0" applyAlignment="0" applyProtection="0"/>
    <xf numFmtId="173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80" fontId="2" fillId="0" borderId="0" applyFill="0" applyBorder="0" applyAlignment="0" applyProtection="0"/>
    <xf numFmtId="0" fontId="6" fillId="0" borderId="3" applyProtection="0">
      <alignment vertical="center"/>
    </xf>
    <xf numFmtId="0" fontId="45" fillId="0" borderId="0" applyNumberFormat="0" applyFill="0" applyBorder="0" applyAlignment="0" applyProtection="0">
      <alignment vertical="top"/>
      <protection locked="0"/>
    </xf>
    <xf numFmtId="0" fontId="45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45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45" fillId="0" borderId="0" applyNumberFormat="0" applyFill="0" applyBorder="0" applyAlignment="0" applyProtection="0">
      <alignment vertical="top"/>
      <protection locked="0"/>
    </xf>
    <xf numFmtId="0" fontId="45" fillId="0" borderId="0" applyNumberFormat="0" applyFill="0" applyBorder="0" applyAlignment="0" applyProtection="0">
      <alignment vertical="top"/>
      <protection locked="0"/>
    </xf>
    <xf numFmtId="0" fontId="24" fillId="31" borderId="0" applyNumberFormat="0" applyBorder="0" applyAlignment="0" applyProtection="0"/>
    <xf numFmtId="165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169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" fillId="0" borderId="0" applyFont="0" applyFill="0" applyBorder="0" applyAlignment="0" applyProtection="0"/>
    <xf numFmtId="169" fontId="5" fillId="0" borderId="0" applyFont="0" applyFill="0" applyBorder="0" applyAlignment="0" applyProtection="0"/>
    <xf numFmtId="169" fontId="5" fillId="0" borderId="0" applyFont="0" applyFill="0" applyBorder="0" applyAlignment="0" applyProtection="0"/>
    <xf numFmtId="169" fontId="5" fillId="0" borderId="0" applyFont="0" applyFill="0" applyBorder="0" applyAlignment="0" applyProtection="0"/>
    <xf numFmtId="169" fontId="5" fillId="0" borderId="0" applyFont="0" applyFill="0" applyBorder="0" applyAlignment="0" applyProtection="0"/>
    <xf numFmtId="169" fontId="5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5" fillId="0" borderId="0" applyFont="0" applyFill="0" applyBorder="0" applyAlignment="0" applyProtection="0"/>
    <xf numFmtId="169" fontId="5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5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5" fillId="0" borderId="0" applyFont="0" applyFill="0" applyBorder="0" applyAlignment="0" applyProtection="0"/>
    <xf numFmtId="0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 applyFont="0" applyFill="0" applyBorder="0" applyAlignment="0" applyProtection="0"/>
    <xf numFmtId="169" fontId="5" fillId="0" borderId="0" applyFont="0" applyFill="0" applyBorder="0" applyAlignment="0" applyProtection="0"/>
    <xf numFmtId="169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76" fontId="5" fillId="0" borderId="0" applyFont="0" applyFill="0" applyBorder="0" applyAlignment="0" applyProtection="0"/>
    <xf numFmtId="165" fontId="2" fillId="0" borderId="0" applyFill="0" applyBorder="0" applyAlignment="0" applyProtection="0"/>
    <xf numFmtId="165" fontId="2" fillId="0" borderId="0" applyFill="0" applyBorder="0" applyAlignment="0" applyProtection="0"/>
    <xf numFmtId="165" fontId="2" fillId="0" borderId="0" applyFill="0" applyBorder="0" applyAlignment="0" applyProtection="0"/>
    <xf numFmtId="165" fontId="2" fillId="0" borderId="0" applyFill="0" applyBorder="0" applyAlignment="0" applyProtection="0"/>
    <xf numFmtId="165" fontId="2" fillId="0" borderId="0" applyFill="0" applyBorder="0" applyAlignment="0" applyProtection="0"/>
    <xf numFmtId="165" fontId="2" fillId="0" borderId="0" applyFill="0" applyBorder="0" applyAlignment="0" applyProtection="0"/>
    <xf numFmtId="164" fontId="44" fillId="0" borderId="0" applyFont="0" applyFill="0" applyBorder="0" applyAlignment="0" applyProtection="0"/>
    <xf numFmtId="165" fontId="2" fillId="0" borderId="0" applyFill="0" applyBorder="0" applyAlignment="0" applyProtection="0"/>
    <xf numFmtId="165" fontId="2" fillId="0" borderId="0" applyFont="0" applyFill="0" applyBorder="0" applyAlignment="0" applyProtection="0"/>
    <xf numFmtId="170" fontId="44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77" fontId="2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78" fontId="2" fillId="0" borderId="0" applyFont="0" applyFill="0" applyBorder="0" applyAlignment="0" applyProtection="0"/>
    <xf numFmtId="0" fontId="25" fillId="14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44" fillId="0" borderId="0"/>
    <xf numFmtId="0" fontId="44" fillId="0" borderId="0"/>
    <xf numFmtId="0" fontId="4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2" fillId="0" borderId="0"/>
    <xf numFmtId="0" fontId="2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2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10" fillId="0" borderId="0">
      <alignment vertical="center"/>
    </xf>
    <xf numFmtId="0" fontId="2" fillId="0" borderId="0"/>
    <xf numFmtId="0" fontId="2" fillId="0" borderId="0"/>
    <xf numFmtId="0" fontId="2" fillId="0" borderId="0"/>
    <xf numFmtId="0" fontId="44" fillId="0" borderId="0"/>
    <xf numFmtId="0" fontId="2" fillId="0" borderId="0"/>
    <xf numFmtId="0" fontId="44" fillId="0" borderId="0"/>
    <xf numFmtId="0" fontId="2" fillId="0" borderId="0"/>
    <xf numFmtId="0" fontId="2" fillId="0" borderId="0"/>
    <xf numFmtId="0" fontId="2" fillId="0" borderId="0"/>
    <xf numFmtId="0" fontId="9" fillId="0" borderId="0">
      <alignment vertical="top"/>
    </xf>
    <xf numFmtId="0" fontId="2" fillId="4" borderId="5" applyNumberFormat="0" applyAlignment="0" applyProtection="0"/>
    <xf numFmtId="0" fontId="2" fillId="4" borderId="5" applyNumberFormat="0" applyAlignment="0" applyProtection="0"/>
    <xf numFmtId="0" fontId="2" fillId="4" borderId="5" applyNumberFormat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7" fillId="2" borderId="6" applyNumberFormat="0" applyAlignment="0" applyProtection="0"/>
    <xf numFmtId="0" fontId="17" fillId="2" borderId="6" applyNumberFormat="0" applyAlignment="0" applyProtection="0"/>
    <xf numFmtId="0" fontId="17" fillId="2" borderId="6" applyNumberFormat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6" fillId="0" borderId="7" applyNumberFormat="0" applyFill="0" applyAlignment="0" applyProtection="0"/>
    <xf numFmtId="0" fontId="27" fillId="0" borderId="8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8" fillId="0" borderId="0" applyNumberFormat="0" applyFill="0" applyBorder="0" applyAlignment="0" applyProtection="0"/>
    <xf numFmtId="0" fontId="20" fillId="0" borderId="12" applyNumberFormat="0" applyFill="0" applyAlignment="0" applyProtection="0"/>
    <xf numFmtId="0" fontId="20" fillId="0" borderId="12" applyNumberFormat="0" applyFill="0" applyAlignment="0" applyProtection="0"/>
    <xf numFmtId="0" fontId="20" fillId="0" borderId="12" applyNumberFormat="0" applyFill="0" applyAlignment="0" applyProtection="0"/>
    <xf numFmtId="0" fontId="29" fillId="8" borderId="0" applyNumberFormat="0" applyBorder="0" applyAlignment="0" applyProtection="0">
      <alignment vertical="center"/>
    </xf>
    <xf numFmtId="0" fontId="30" fillId="7" borderId="0" applyNumberFormat="0" applyBorder="0" applyAlignment="0" applyProtection="0">
      <alignment vertical="center"/>
    </xf>
    <xf numFmtId="0" fontId="10" fillId="0" borderId="0"/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2" fillId="0" borderId="4" applyNumberFormat="0" applyFill="0" applyAlignment="0" applyProtection="0">
      <alignment vertical="center"/>
    </xf>
    <xf numFmtId="0" fontId="33" fillId="0" borderId="8" applyNumberFormat="0" applyFill="0" applyAlignment="0" applyProtection="0">
      <alignment vertical="center"/>
    </xf>
    <xf numFmtId="0" fontId="34" fillId="0" borderId="9" applyNumberFormat="0" applyFill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36" borderId="2" applyNumberFormat="0" applyAlignment="0" applyProtection="0">
      <alignment vertical="center"/>
    </xf>
    <xf numFmtId="0" fontId="36" fillId="0" borderId="11" applyNumberFormat="0" applyFill="0" applyAlignment="0" applyProtection="0">
      <alignment vertical="center"/>
    </xf>
    <xf numFmtId="0" fontId="10" fillId="37" borderId="5" applyNumberFormat="0" applyFont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9" fillId="38" borderId="1" applyNumberFormat="0" applyAlignment="0" applyProtection="0">
      <alignment vertical="center"/>
    </xf>
    <xf numFmtId="0" fontId="40" fillId="11" borderId="1" applyNumberFormat="0" applyAlignment="0" applyProtection="0">
      <alignment vertical="center"/>
    </xf>
    <xf numFmtId="0" fontId="41" fillId="38" borderId="6" applyNumberFormat="0" applyAlignment="0" applyProtection="0">
      <alignment vertical="center"/>
    </xf>
    <xf numFmtId="0" fontId="42" fillId="39" borderId="0" applyNumberFormat="0" applyBorder="0" applyAlignment="0" applyProtection="0">
      <alignment vertical="center"/>
    </xf>
    <xf numFmtId="0" fontId="43" fillId="0" borderId="3" applyNumberFormat="0" applyFill="0" applyAlignment="0" applyProtection="0">
      <alignment vertical="center"/>
    </xf>
    <xf numFmtId="169" fontId="1" fillId="0" borderId="0" applyFont="0" applyFill="0" applyBorder="0" applyAlignment="0" applyProtection="0"/>
    <xf numFmtId="0" fontId="48" fillId="0" borderId="0"/>
    <xf numFmtId="0" fontId="44" fillId="0" borderId="0"/>
    <xf numFmtId="0" fontId="1" fillId="0" borderId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2" fillId="0" borderId="0"/>
    <xf numFmtId="0" fontId="1" fillId="0" borderId="0"/>
    <xf numFmtId="0" fontId="44" fillId="0" borderId="0"/>
  </cellStyleXfs>
  <cellXfs count="51">
    <xf numFmtId="0" fontId="0" fillId="0" borderId="0" xfId="0"/>
    <xf numFmtId="0" fontId="2" fillId="0" borderId="0" xfId="147"/>
    <xf numFmtId="0" fontId="50" fillId="0" borderId="0" xfId="147" applyFont="1"/>
    <xf numFmtId="0" fontId="50" fillId="41" borderId="13" xfId="176" applyFont="1" applyFill="1" applyBorder="1"/>
    <xf numFmtId="0" fontId="50" fillId="0" borderId="13" xfId="147" applyFont="1" applyBorder="1"/>
    <xf numFmtId="0" fontId="52" fillId="0" borderId="0" xfId="0" applyFont="1" applyAlignment="1">
      <alignment horizontal="center" vertical="center"/>
    </xf>
    <xf numFmtId="0" fontId="52" fillId="41" borderId="0" xfId="0" applyFont="1" applyFill="1" applyAlignment="1">
      <alignment horizontal="center" vertical="center"/>
    </xf>
    <xf numFmtId="0" fontId="53" fillId="0" borderId="0" xfId="0" applyFont="1" applyAlignment="1">
      <alignment horizontal="center" vertical="center"/>
    </xf>
    <xf numFmtId="0" fontId="54" fillId="0" borderId="0" xfId="147" applyFont="1"/>
    <xf numFmtId="0" fontId="46" fillId="0" borderId="16" xfId="147" applyFont="1" applyBorder="1" applyAlignment="1">
      <alignment horizontal="center" vertical="center" wrapText="1"/>
    </xf>
    <xf numFmtId="0" fontId="51" fillId="43" borderId="13" xfId="176" applyFont="1" applyFill="1" applyBorder="1" applyAlignment="1">
      <alignment horizontal="center" vertical="center" wrapText="1"/>
    </xf>
    <xf numFmtId="0" fontId="47" fillId="43" borderId="13" xfId="176" applyFont="1" applyFill="1" applyBorder="1" applyAlignment="1">
      <alignment horizontal="center" vertical="center" wrapText="1"/>
    </xf>
    <xf numFmtId="0" fontId="51" fillId="43" borderId="13" xfId="172" applyFont="1" applyFill="1" applyBorder="1" applyAlignment="1">
      <alignment horizontal="center" vertical="center" wrapText="1"/>
    </xf>
    <xf numFmtId="0" fontId="51" fillId="43" borderId="13" xfId="173" applyFont="1" applyFill="1" applyBorder="1" applyAlignment="1">
      <alignment horizontal="center" vertical="center" wrapText="1"/>
    </xf>
    <xf numFmtId="168" fontId="61" fillId="48" borderId="13" xfId="147" applyNumberFormat="1" applyFont="1" applyFill="1" applyBorder="1" applyAlignment="1">
      <alignment horizontal="center" vertical="center"/>
    </xf>
    <xf numFmtId="167" fontId="64" fillId="48" borderId="13" xfId="147" applyNumberFormat="1" applyFont="1" applyFill="1" applyBorder="1" applyAlignment="1">
      <alignment horizontal="center" vertical="center"/>
    </xf>
    <xf numFmtId="167" fontId="65" fillId="48" borderId="13" xfId="147" applyNumberFormat="1" applyFont="1" applyFill="1" applyBorder="1" applyAlignment="1">
      <alignment horizontal="center" vertical="center"/>
    </xf>
    <xf numFmtId="167" fontId="62" fillId="46" borderId="13" xfId="147" applyNumberFormat="1" applyFont="1" applyFill="1" applyBorder="1" applyAlignment="1">
      <alignment horizontal="center" vertical="center"/>
    </xf>
    <xf numFmtId="167" fontId="50" fillId="41" borderId="13" xfId="147" applyNumberFormat="1" applyFont="1" applyFill="1" applyBorder="1" applyAlignment="1">
      <alignment horizontal="center" vertical="center" wrapText="1"/>
    </xf>
    <xf numFmtId="167" fontId="60" fillId="46" borderId="13" xfId="147" applyNumberFormat="1" applyFont="1" applyFill="1" applyBorder="1" applyAlignment="1">
      <alignment horizontal="center" vertical="center"/>
    </xf>
    <xf numFmtId="167" fontId="61" fillId="0" borderId="13" xfId="147" applyNumberFormat="1" applyFont="1" applyBorder="1" applyAlignment="1">
      <alignment horizontal="center" vertical="center"/>
    </xf>
    <xf numFmtId="167" fontId="66" fillId="49" borderId="13" xfId="147" applyNumberFormat="1" applyFont="1" applyFill="1" applyBorder="1" applyAlignment="1">
      <alignment horizontal="center" vertical="center"/>
    </xf>
    <xf numFmtId="168" fontId="62" fillId="46" borderId="13" xfId="147" applyNumberFormat="1" applyFont="1" applyFill="1" applyBorder="1" applyAlignment="1">
      <alignment horizontal="center" vertical="center"/>
    </xf>
    <xf numFmtId="0" fontId="3" fillId="0" borderId="16" xfId="145" applyFont="1" applyBorder="1" applyAlignment="1">
      <alignment horizontal="center" vertical="center" wrapText="1"/>
    </xf>
    <xf numFmtId="165" fontId="49" fillId="41" borderId="16" xfId="147" applyNumberFormat="1" applyFont="1" applyFill="1" applyBorder="1" applyAlignment="1">
      <alignment horizontal="center"/>
    </xf>
    <xf numFmtId="167" fontId="46" fillId="0" borderId="16" xfId="155" applyNumberFormat="1" applyFont="1" applyBorder="1" applyAlignment="1">
      <alignment horizontal="center" vertical="center" wrapText="1"/>
    </xf>
    <xf numFmtId="0" fontId="4" fillId="0" borderId="16" xfId="147" applyFont="1" applyBorder="1" applyAlignment="1">
      <alignment horizontal="center" vertical="center" wrapText="1"/>
    </xf>
    <xf numFmtId="0" fontId="67" fillId="0" borderId="16" xfId="173" applyFont="1" applyBorder="1" applyAlignment="1">
      <alignment horizontal="left" vertical="center" wrapText="1"/>
    </xf>
    <xf numFmtId="167" fontId="57" fillId="0" borderId="16" xfId="0" applyNumberFormat="1" applyFont="1" applyBorder="1" applyAlignment="1">
      <alignment horizontal="center" vertical="center"/>
    </xf>
    <xf numFmtId="49" fontId="46" fillId="46" borderId="13" xfId="147" applyNumberFormat="1" applyFont="1" applyFill="1" applyBorder="1" applyAlignment="1">
      <alignment horizontal="center" vertical="center" wrapText="1"/>
    </xf>
    <xf numFmtId="167" fontId="61" fillId="46" borderId="13" xfId="147" applyNumberFormat="1" applyFont="1" applyFill="1" applyBorder="1" applyAlignment="1">
      <alignment horizontal="center" vertical="center"/>
    </xf>
    <xf numFmtId="167" fontId="58" fillId="45" borderId="13" xfId="147" applyNumberFormat="1" applyFont="1" applyFill="1" applyBorder="1" applyAlignment="1">
      <alignment horizontal="center" vertical="center"/>
    </xf>
    <xf numFmtId="168" fontId="61" fillId="46" borderId="13" xfId="171" applyNumberFormat="1" applyFont="1" applyFill="1" applyBorder="1" applyAlignment="1">
      <alignment horizontal="center" vertical="center"/>
    </xf>
    <xf numFmtId="0" fontId="68" fillId="0" borderId="0" xfId="0" applyFont="1"/>
    <xf numFmtId="0" fontId="46" fillId="50" borderId="13" xfId="147" applyFont="1" applyFill="1" applyBorder="1" applyAlignment="1">
      <alignment horizontal="center" vertical="center"/>
    </xf>
    <xf numFmtId="167" fontId="61" fillId="50" borderId="13" xfId="147" applyNumberFormat="1" applyFont="1" applyFill="1" applyBorder="1" applyAlignment="1">
      <alignment horizontal="center" vertical="center"/>
    </xf>
    <xf numFmtId="0" fontId="61" fillId="50" borderId="13" xfId="147" applyFont="1" applyFill="1" applyBorder="1" applyAlignment="1">
      <alignment horizontal="center" vertical="center"/>
    </xf>
    <xf numFmtId="0" fontId="63" fillId="40" borderId="15" xfId="147" applyFont="1" applyFill="1" applyBorder="1" applyAlignment="1">
      <alignment horizontal="center" vertical="center" wrapText="1"/>
    </xf>
    <xf numFmtId="0" fontId="63" fillId="40" borderId="14" xfId="147" applyFont="1" applyFill="1" applyBorder="1" applyAlignment="1">
      <alignment horizontal="center" vertical="center" wrapText="1"/>
    </xf>
    <xf numFmtId="0" fontId="46" fillId="42" borderId="14" xfId="147" applyFont="1" applyFill="1" applyBorder="1" applyAlignment="1">
      <alignment horizontal="center" vertical="center" wrapText="1"/>
    </xf>
    <xf numFmtId="0" fontId="46" fillId="43" borderId="14" xfId="147" applyFont="1" applyFill="1" applyBorder="1" applyAlignment="1">
      <alignment horizontal="center" vertical="center" wrapText="1"/>
    </xf>
    <xf numFmtId="0" fontId="63" fillId="44" borderId="14" xfId="147" applyFont="1" applyFill="1" applyBorder="1" applyAlignment="1">
      <alignment horizontal="center" vertical="center" wrapText="1"/>
    </xf>
    <xf numFmtId="0" fontId="59" fillId="44" borderId="14" xfId="147" applyFont="1" applyFill="1" applyBorder="1" applyAlignment="1">
      <alignment horizontal="center" vertical="center" wrapText="1"/>
    </xf>
    <xf numFmtId="9" fontId="59" fillId="44" borderId="14" xfId="147" applyNumberFormat="1" applyFont="1" applyFill="1" applyBorder="1" applyAlignment="1">
      <alignment horizontal="center" vertical="center"/>
    </xf>
    <xf numFmtId="167" fontId="50" fillId="47" borderId="13" xfId="147" applyNumberFormat="1" applyFont="1" applyFill="1" applyBorder="1" applyAlignment="1">
      <alignment horizontal="center" vertical="center"/>
    </xf>
    <xf numFmtId="168" fontId="50" fillId="46" borderId="13" xfId="147" applyNumberFormat="1" applyFont="1" applyFill="1" applyBorder="1" applyAlignment="1">
      <alignment horizontal="center" vertical="center"/>
    </xf>
    <xf numFmtId="167" fontId="50" fillId="42" borderId="13" xfId="147" applyNumberFormat="1" applyFont="1" applyFill="1" applyBorder="1" applyAlignment="1">
      <alignment horizontal="center" vertical="center"/>
    </xf>
    <xf numFmtId="0" fontId="70" fillId="0" borderId="0" xfId="145" applyFont="1" applyAlignment="1">
      <alignment horizontal="center" vertical="center" wrapText="1"/>
    </xf>
    <xf numFmtId="0" fontId="51" fillId="41" borderId="13" xfId="147" applyFont="1" applyFill="1" applyBorder="1" applyAlignment="1">
      <alignment horizontal="center" vertical="center"/>
    </xf>
    <xf numFmtId="179" fontId="3" fillId="0" borderId="16" xfId="245" applyNumberFormat="1" applyFont="1" applyFill="1" applyBorder="1" applyAlignment="1">
      <alignment horizontal="center" vertical="center" wrapText="1"/>
    </xf>
    <xf numFmtId="49" fontId="50" fillId="46" borderId="13" xfId="147" applyNumberFormat="1" applyFont="1" applyFill="1" applyBorder="1" applyAlignment="1">
      <alignment horizontal="center" vertical="center" wrapText="1"/>
    </xf>
  </cellXfs>
  <cellStyles count="250">
    <cellStyle name="          _x000d__x000a_386grabber=VGA.3GR_x000d__x000a_" xfId="1" xr:uid="{00000000-0005-0000-0000-000000000000}"/>
    <cellStyle name="_Hoja1" xfId="2" xr:uid="{00000000-0005-0000-0000-000001000000}"/>
    <cellStyle name="_Hoja1_1" xfId="3" xr:uid="{00000000-0005-0000-0000-000002000000}"/>
    <cellStyle name="_Hoja1_2" xfId="4" xr:uid="{00000000-0005-0000-0000-000003000000}"/>
    <cellStyle name="_Hoja1_3" xfId="5" xr:uid="{00000000-0005-0000-0000-000004000000}"/>
    <cellStyle name="_Hoja1_4" xfId="6" xr:uid="{00000000-0005-0000-0000-000005000000}"/>
    <cellStyle name="20% - Énfasis1 2" xfId="7" xr:uid="{00000000-0005-0000-0000-000006000000}"/>
    <cellStyle name="20% - Énfasis2 2" xfId="8" xr:uid="{00000000-0005-0000-0000-000007000000}"/>
    <cellStyle name="20% - Énfasis3 2" xfId="9" xr:uid="{00000000-0005-0000-0000-000008000000}"/>
    <cellStyle name="20% - Énfasis4 2" xfId="10" xr:uid="{00000000-0005-0000-0000-000009000000}"/>
    <cellStyle name="20% - Énfasis5 2" xfId="11" xr:uid="{00000000-0005-0000-0000-00000A000000}"/>
    <cellStyle name="20% - Énfasis6 2" xfId="12" xr:uid="{00000000-0005-0000-0000-00000B000000}"/>
    <cellStyle name="20% - 强调文字颜色 1" xfId="13" xr:uid="{00000000-0005-0000-0000-00000C000000}"/>
    <cellStyle name="20% - 强调文字颜色 2" xfId="14" xr:uid="{00000000-0005-0000-0000-00000D000000}"/>
    <cellStyle name="20% - 强调文字颜色 3" xfId="15" xr:uid="{00000000-0005-0000-0000-00000E000000}"/>
    <cellStyle name="20% - 强调文字颜色 4" xfId="16" xr:uid="{00000000-0005-0000-0000-00000F000000}"/>
    <cellStyle name="20% - 强调文字颜色 5" xfId="17" xr:uid="{00000000-0005-0000-0000-000010000000}"/>
    <cellStyle name="20% - 强调文字颜色 6" xfId="18" xr:uid="{00000000-0005-0000-0000-000011000000}"/>
    <cellStyle name="40% - Énfasis1 2" xfId="19" xr:uid="{00000000-0005-0000-0000-000012000000}"/>
    <cellStyle name="40% - Énfasis2 2" xfId="20" xr:uid="{00000000-0005-0000-0000-000013000000}"/>
    <cellStyle name="40% - Énfasis3 2" xfId="21" xr:uid="{00000000-0005-0000-0000-000014000000}"/>
    <cellStyle name="40% - Énfasis4 2" xfId="22" xr:uid="{00000000-0005-0000-0000-000015000000}"/>
    <cellStyle name="40% - Énfasis5 2" xfId="23" xr:uid="{00000000-0005-0000-0000-000016000000}"/>
    <cellStyle name="40% - Énfasis6 2" xfId="24" xr:uid="{00000000-0005-0000-0000-000017000000}"/>
    <cellStyle name="40% - 强调文字颜色 1" xfId="25" xr:uid="{00000000-0005-0000-0000-000018000000}"/>
    <cellStyle name="40% - 强调文字颜色 2" xfId="26" xr:uid="{00000000-0005-0000-0000-000019000000}"/>
    <cellStyle name="40% - 强调文字颜色 3" xfId="27" xr:uid="{00000000-0005-0000-0000-00001A000000}"/>
    <cellStyle name="40% - 强调文字颜色 4" xfId="28" xr:uid="{00000000-0005-0000-0000-00001B000000}"/>
    <cellStyle name="40% - 强调文字颜色 5" xfId="29" xr:uid="{00000000-0005-0000-0000-00001C000000}"/>
    <cellStyle name="40% - 强调文字颜色 6" xfId="30" xr:uid="{00000000-0005-0000-0000-00001D000000}"/>
    <cellStyle name="60% - Énfasis1 2" xfId="31" xr:uid="{00000000-0005-0000-0000-00001E000000}"/>
    <cellStyle name="60% - Énfasis2 2" xfId="32" xr:uid="{00000000-0005-0000-0000-00001F000000}"/>
    <cellStyle name="60% - Énfasis3 2" xfId="33" xr:uid="{00000000-0005-0000-0000-000020000000}"/>
    <cellStyle name="60% - Énfasis4 2" xfId="34" xr:uid="{00000000-0005-0000-0000-000021000000}"/>
    <cellStyle name="60% - Énfasis5 2" xfId="35" xr:uid="{00000000-0005-0000-0000-000022000000}"/>
    <cellStyle name="60% - Énfasis6 2" xfId="36" xr:uid="{00000000-0005-0000-0000-000023000000}"/>
    <cellStyle name="60% - 强调文字颜色 1" xfId="37" xr:uid="{00000000-0005-0000-0000-000024000000}"/>
    <cellStyle name="60% - 强调文字颜色 2" xfId="38" xr:uid="{00000000-0005-0000-0000-000025000000}"/>
    <cellStyle name="60% - 强调文字颜色 3" xfId="39" xr:uid="{00000000-0005-0000-0000-000026000000}"/>
    <cellStyle name="60% - 强调文字颜色 4" xfId="40" xr:uid="{00000000-0005-0000-0000-000027000000}"/>
    <cellStyle name="60% - 强调文字颜色 5" xfId="41" xr:uid="{00000000-0005-0000-0000-000028000000}"/>
    <cellStyle name="60% - 强调文字颜色 6" xfId="42" xr:uid="{00000000-0005-0000-0000-000029000000}"/>
    <cellStyle name="Buena 2" xfId="43" xr:uid="{00000000-0005-0000-0000-00002A000000}"/>
    <cellStyle name="Cálculo 2" xfId="44" xr:uid="{00000000-0005-0000-0000-00002B000000}"/>
    <cellStyle name="Cálculo 2 2" xfId="45" xr:uid="{00000000-0005-0000-0000-00002C000000}"/>
    <cellStyle name="Cálculo 2 3" xfId="46" xr:uid="{00000000-0005-0000-0000-00002D000000}"/>
    <cellStyle name="Cancel" xfId="47" xr:uid="{00000000-0005-0000-0000-00002E000000}"/>
    <cellStyle name="Celda de comprobación 2" xfId="48" xr:uid="{00000000-0005-0000-0000-00002F000000}"/>
    <cellStyle name="Celda vinculada 2" xfId="49" xr:uid="{00000000-0005-0000-0000-000030000000}"/>
    <cellStyle name="Encabezado 4 2" xfId="50" xr:uid="{00000000-0005-0000-0000-000031000000}"/>
    <cellStyle name="Énfasis1 2" xfId="51" xr:uid="{00000000-0005-0000-0000-000032000000}"/>
    <cellStyle name="Énfasis2 2" xfId="52" xr:uid="{00000000-0005-0000-0000-000033000000}"/>
    <cellStyle name="Énfasis3 2" xfId="53" xr:uid="{00000000-0005-0000-0000-000034000000}"/>
    <cellStyle name="Énfasis4 2" xfId="54" xr:uid="{00000000-0005-0000-0000-000035000000}"/>
    <cellStyle name="Énfasis5 2" xfId="55" xr:uid="{00000000-0005-0000-0000-000036000000}"/>
    <cellStyle name="Énfasis6 2" xfId="56" xr:uid="{00000000-0005-0000-0000-000037000000}"/>
    <cellStyle name="Entrada 2" xfId="57" xr:uid="{00000000-0005-0000-0000-000038000000}"/>
    <cellStyle name="Entrada 2 2" xfId="58" xr:uid="{00000000-0005-0000-0000-000039000000}"/>
    <cellStyle name="Entrada 2 3" xfId="59" xr:uid="{00000000-0005-0000-0000-00003A000000}"/>
    <cellStyle name="Estilo 1" xfId="60" xr:uid="{00000000-0005-0000-0000-00003B000000}"/>
    <cellStyle name="Euro" xfId="61" xr:uid="{00000000-0005-0000-0000-00003C000000}"/>
    <cellStyle name="Euro 2" xfId="62" xr:uid="{00000000-0005-0000-0000-00003D000000}"/>
    <cellStyle name="Euro 3" xfId="63" xr:uid="{00000000-0005-0000-0000-00003E000000}"/>
    <cellStyle name="Excel Built-in Explanatory Text" xfId="64" xr:uid="{00000000-0005-0000-0000-00003F000000}"/>
    <cellStyle name="Hipervínculo 2" xfId="65" xr:uid="{00000000-0005-0000-0000-000040000000}"/>
    <cellStyle name="Hipervínculo 2 2" xfId="66" xr:uid="{00000000-0005-0000-0000-000041000000}"/>
    <cellStyle name="Hipervínculo 2 2 2" xfId="67" xr:uid="{00000000-0005-0000-0000-000042000000}"/>
    <cellStyle name="Hipervínculo 2 2 2 2" xfId="68" xr:uid="{00000000-0005-0000-0000-000043000000}"/>
    <cellStyle name="Hipervínculo 2 2 2 3" xfId="69" xr:uid="{00000000-0005-0000-0000-000044000000}"/>
    <cellStyle name="Hipervínculo 2 2 3" xfId="70" xr:uid="{00000000-0005-0000-0000-000045000000}"/>
    <cellStyle name="Hipervínculo 2 3" xfId="71" xr:uid="{00000000-0005-0000-0000-000046000000}"/>
    <cellStyle name="Hipervínculo 2 3 2" xfId="72" xr:uid="{00000000-0005-0000-0000-000047000000}"/>
    <cellStyle name="Hipervínculo 2 3 3" xfId="73" xr:uid="{00000000-0005-0000-0000-000048000000}"/>
    <cellStyle name="Hipervínculo 2_Canguros" xfId="74" xr:uid="{00000000-0005-0000-0000-000049000000}"/>
    <cellStyle name="Incorrecto 2" xfId="75" xr:uid="{00000000-0005-0000-0000-00004A000000}"/>
    <cellStyle name="Millares 10" xfId="76" xr:uid="{00000000-0005-0000-0000-00004B000000}"/>
    <cellStyle name="Millares 2" xfId="77" xr:uid="{00000000-0005-0000-0000-00004C000000}"/>
    <cellStyle name="Millares 2 2" xfId="78" xr:uid="{00000000-0005-0000-0000-00004D000000}"/>
    <cellStyle name="Millares 2 2 10 2" xfId="242" xr:uid="{B6600E82-1F40-4C42-9817-3006413BEB7A}"/>
    <cellStyle name="Millares 2 2 2" xfId="79" xr:uid="{00000000-0005-0000-0000-00004E000000}"/>
    <cellStyle name="Millares 2 2 2 2" xfId="80" xr:uid="{00000000-0005-0000-0000-00004F000000}"/>
    <cellStyle name="Millares 2 2 2 2 2" xfId="81" xr:uid="{00000000-0005-0000-0000-000050000000}"/>
    <cellStyle name="Millares 2 2 2 3" xfId="82" xr:uid="{00000000-0005-0000-0000-000051000000}"/>
    <cellStyle name="Millares 2 2 2 4" xfId="83" xr:uid="{00000000-0005-0000-0000-000052000000}"/>
    <cellStyle name="Millares 2 2 3" xfId="84" xr:uid="{00000000-0005-0000-0000-000053000000}"/>
    <cellStyle name="Millares 2 2 3 2" xfId="85" xr:uid="{00000000-0005-0000-0000-000054000000}"/>
    <cellStyle name="Millares 2 2 3 2 2" xfId="86" xr:uid="{00000000-0005-0000-0000-000055000000}"/>
    <cellStyle name="Millares 2 2 3 2 2 2" xfId="87" xr:uid="{00000000-0005-0000-0000-000056000000}"/>
    <cellStyle name="Millares 2 2 3 2 2 2 2" xfId="88" xr:uid="{00000000-0005-0000-0000-000057000000}"/>
    <cellStyle name="Millares 2 2 3 2 2 2 2 2" xfId="89" xr:uid="{00000000-0005-0000-0000-000058000000}"/>
    <cellStyle name="Millares 2 2 3 2 2 2 2 2 2 2" xfId="90" xr:uid="{00000000-0005-0000-0000-000059000000}"/>
    <cellStyle name="Millares 2 2 3 2 2 2 2 2 2 2 2" xfId="237" xr:uid="{00000000-0005-0000-0000-00005A000000}"/>
    <cellStyle name="Millares 2 2 3 2 2 2 2 2 2 2 2 2" xfId="245" xr:uid="{31B77F38-B4A3-4D1E-B703-50EB2FB546BB}"/>
    <cellStyle name="Millares 2 2 3 2 2 2 2 2 3" xfId="243" xr:uid="{F31F7414-76A4-4CDC-BC2C-97BFF1331BEF}"/>
    <cellStyle name="Millares 2 2 3 2 2 2 2 2 3 2" xfId="246" xr:uid="{02430C6C-5FAB-45FF-A4EA-D496A4664ECE}"/>
    <cellStyle name="Millares 2 2 3 2 2 2 2 6" xfId="244" xr:uid="{DCA04879-913B-4489-8508-CE5209972018}"/>
    <cellStyle name="Millares 2 2 3 2 2 3" xfId="91" xr:uid="{00000000-0005-0000-0000-00005B000000}"/>
    <cellStyle name="Millares 2 2 3 2 2 3 2 3" xfId="92" xr:uid="{00000000-0005-0000-0000-00005C000000}"/>
    <cellStyle name="Millares 2 2 3 2 3" xfId="93" xr:uid="{00000000-0005-0000-0000-00005D000000}"/>
    <cellStyle name="Millares 2 2 3 3" xfId="94" xr:uid="{00000000-0005-0000-0000-00005E000000}"/>
    <cellStyle name="Millares 2 2 3 4" xfId="95" xr:uid="{00000000-0005-0000-0000-00005F000000}"/>
    <cellStyle name="Millares 2 2 3 4 2 2 2 2 2" xfId="241" xr:uid="{B0C62A85-B870-464A-9F88-27FE1C03C6C1}"/>
    <cellStyle name="Millares 2 2 4" xfId="96" xr:uid="{00000000-0005-0000-0000-000060000000}"/>
    <cellStyle name="Millares 2 2 4 2" xfId="97" xr:uid="{00000000-0005-0000-0000-000061000000}"/>
    <cellStyle name="Millares 2 2 5" xfId="98" xr:uid="{00000000-0005-0000-0000-000062000000}"/>
    <cellStyle name="Millares 2 2 5 2" xfId="99" xr:uid="{00000000-0005-0000-0000-000063000000}"/>
    <cellStyle name="Millares 2 2 5 3" xfId="100" xr:uid="{00000000-0005-0000-0000-000064000000}"/>
    <cellStyle name="Millares 2 2 5 4" xfId="101" xr:uid="{00000000-0005-0000-0000-000065000000}"/>
    <cellStyle name="Millares 2 2 6" xfId="102" xr:uid="{00000000-0005-0000-0000-000066000000}"/>
    <cellStyle name="Millares 2 2 7" xfId="103" xr:uid="{00000000-0005-0000-0000-000067000000}"/>
    <cellStyle name="Millares 2 2_13.02 (2)" xfId="104" xr:uid="{00000000-0005-0000-0000-000068000000}"/>
    <cellStyle name="Millares 2 3" xfId="105" xr:uid="{00000000-0005-0000-0000-000069000000}"/>
    <cellStyle name="Millares 2 3 2" xfId="106" xr:uid="{00000000-0005-0000-0000-00006A000000}"/>
    <cellStyle name="Millares 2 3 2 2" xfId="107" xr:uid="{00000000-0005-0000-0000-00006B000000}"/>
    <cellStyle name="Millares 2 3 2 2 2" xfId="108" xr:uid="{00000000-0005-0000-0000-00006C000000}"/>
    <cellStyle name="Millares 2 3 2 3" xfId="109" xr:uid="{00000000-0005-0000-0000-00006D000000}"/>
    <cellStyle name="Millares 2 3 2 4" xfId="110" xr:uid="{00000000-0005-0000-0000-00006E000000}"/>
    <cellStyle name="Millares 2 3 3" xfId="111" xr:uid="{00000000-0005-0000-0000-00006F000000}"/>
    <cellStyle name="Millares 2 3 3 2" xfId="112" xr:uid="{00000000-0005-0000-0000-000070000000}"/>
    <cellStyle name="Millares 2 3 4" xfId="113" xr:uid="{00000000-0005-0000-0000-000071000000}"/>
    <cellStyle name="Millares 2 3 4 2" xfId="114" xr:uid="{00000000-0005-0000-0000-000072000000}"/>
    <cellStyle name="Millares 2 3 5" xfId="115" xr:uid="{00000000-0005-0000-0000-000073000000}"/>
    <cellStyle name="Millares 2 3_13.02 (2)" xfId="116" xr:uid="{00000000-0005-0000-0000-000074000000}"/>
    <cellStyle name="Millares 2 4" xfId="117" xr:uid="{00000000-0005-0000-0000-000075000000}"/>
    <cellStyle name="Millares 2 5" xfId="118" xr:uid="{00000000-0005-0000-0000-000076000000}"/>
    <cellStyle name="Millares 2 6" xfId="119" xr:uid="{00000000-0005-0000-0000-000077000000}"/>
    <cellStyle name="Millares 2 7" xfId="120" xr:uid="{00000000-0005-0000-0000-000078000000}"/>
    <cellStyle name="Millares 2 8" xfId="121" xr:uid="{00000000-0005-0000-0000-000079000000}"/>
    <cellStyle name="Millares 2 9" xfId="122" xr:uid="{00000000-0005-0000-0000-00007A000000}"/>
    <cellStyle name="Millares 3" xfId="123" xr:uid="{00000000-0005-0000-0000-00007B000000}"/>
    <cellStyle name="Millares 3 2" xfId="124" xr:uid="{00000000-0005-0000-0000-00007C000000}"/>
    <cellStyle name="Millares 4" xfId="125" xr:uid="{00000000-0005-0000-0000-00007D000000}"/>
    <cellStyle name="Millares 4 2" xfId="126" xr:uid="{00000000-0005-0000-0000-00007E000000}"/>
    <cellStyle name="Millares 5" xfId="127" xr:uid="{00000000-0005-0000-0000-00007F000000}"/>
    <cellStyle name="Millares 6" xfId="128" xr:uid="{00000000-0005-0000-0000-000080000000}"/>
    <cellStyle name="Millares 7" xfId="129" xr:uid="{00000000-0005-0000-0000-000081000000}"/>
    <cellStyle name="Millares 8" xfId="130" xr:uid="{00000000-0005-0000-0000-000082000000}"/>
    <cellStyle name="Millares 9" xfId="131" xr:uid="{00000000-0005-0000-0000-000083000000}"/>
    <cellStyle name="Moneda 2" xfId="132" xr:uid="{00000000-0005-0000-0000-000084000000}"/>
    <cellStyle name="Moneda 3" xfId="133" xr:uid="{00000000-0005-0000-0000-000085000000}"/>
    <cellStyle name="Moneda 3 2" xfId="134" xr:uid="{00000000-0005-0000-0000-000086000000}"/>
    <cellStyle name="Moneda 3 2 2" xfId="135" xr:uid="{00000000-0005-0000-0000-000087000000}"/>
    <cellStyle name="Moneda 3 3" xfId="136" xr:uid="{00000000-0005-0000-0000-000088000000}"/>
    <cellStyle name="Moneda 3 4" xfId="137" xr:uid="{00000000-0005-0000-0000-000089000000}"/>
    <cellStyle name="Moneda 4" xfId="138" xr:uid="{00000000-0005-0000-0000-00008A000000}"/>
    <cellStyle name="Neutral 2" xfId="139" xr:uid="{00000000-0005-0000-0000-00008B000000}"/>
    <cellStyle name="Normal" xfId="0" builtinId="0"/>
    <cellStyle name="Normal 10 2" xfId="140" xr:uid="{00000000-0005-0000-0000-00008D000000}"/>
    <cellStyle name="Normal 10 3" xfId="240" xr:uid="{0A0A6CF3-28A2-4643-8A37-A40196D40B88}"/>
    <cellStyle name="Normal 11" xfId="141" xr:uid="{00000000-0005-0000-0000-00008E000000}"/>
    <cellStyle name="Normal 11 2" xfId="142" xr:uid="{00000000-0005-0000-0000-00008F000000}"/>
    <cellStyle name="Normal 14" xfId="143" xr:uid="{00000000-0005-0000-0000-000090000000}"/>
    <cellStyle name="Normal 16" xfId="238" xr:uid="{B40E1945-33E4-48B0-830B-0C2FCAECC647}"/>
    <cellStyle name="Normal 2" xfId="144" xr:uid="{00000000-0005-0000-0000-000091000000}"/>
    <cellStyle name="Normal 2 10" xfId="145" xr:uid="{00000000-0005-0000-0000-000092000000}"/>
    <cellStyle name="Normal 2 11" xfId="146" xr:uid="{00000000-0005-0000-0000-000093000000}"/>
    <cellStyle name="Normal 2 2" xfId="147" xr:uid="{00000000-0005-0000-0000-000094000000}"/>
    <cellStyle name="Normal 2 2 2" xfId="148" xr:uid="{00000000-0005-0000-0000-000095000000}"/>
    <cellStyle name="Normal 2 2 2 2" xfId="247" xr:uid="{C4911565-2118-42E8-B744-2DF9B21A8F88}"/>
    <cellStyle name="Normal 2 2 3" xfId="149" xr:uid="{00000000-0005-0000-0000-000096000000}"/>
    <cellStyle name="Normal 2 2 4" xfId="150" xr:uid="{00000000-0005-0000-0000-000097000000}"/>
    <cellStyle name="Normal 2 2 5" xfId="151" xr:uid="{00000000-0005-0000-0000-000098000000}"/>
    <cellStyle name="Normal 2 2_PLANTILLA FINAL CON ANALISIS" xfId="152" xr:uid="{00000000-0005-0000-0000-000099000000}"/>
    <cellStyle name="Normal 2 3" xfId="153" xr:uid="{00000000-0005-0000-0000-00009A000000}"/>
    <cellStyle name="Normal 2 3 2" xfId="154" xr:uid="{00000000-0005-0000-0000-00009B000000}"/>
    <cellStyle name="Normal 2 3 2 2" xfId="155" xr:uid="{00000000-0005-0000-0000-00009C000000}"/>
    <cellStyle name="Normal 2 3 2 2 4" xfId="249" xr:uid="{441631B3-C0EC-457E-A9FD-3A717C385B1D}"/>
    <cellStyle name="Normal 2 3 3" xfId="156" xr:uid="{00000000-0005-0000-0000-00009D000000}"/>
    <cellStyle name="Normal 2 3 3 2" xfId="157" xr:uid="{00000000-0005-0000-0000-00009E000000}"/>
    <cellStyle name="Normal 2 3 3 3" xfId="158" xr:uid="{00000000-0005-0000-0000-00009F000000}"/>
    <cellStyle name="Normal 2 3 4" xfId="159" xr:uid="{00000000-0005-0000-0000-0000A0000000}"/>
    <cellStyle name="Normal 2 3 4 2" xfId="160" xr:uid="{00000000-0005-0000-0000-0000A1000000}"/>
    <cellStyle name="Normal 2 4" xfId="161" xr:uid="{00000000-0005-0000-0000-0000A2000000}"/>
    <cellStyle name="Normal 2 5" xfId="162" xr:uid="{00000000-0005-0000-0000-0000A3000000}"/>
    <cellStyle name="Normal 2 6" xfId="163" xr:uid="{00000000-0005-0000-0000-0000A4000000}"/>
    <cellStyle name="Normal 2 7" xfId="164" xr:uid="{00000000-0005-0000-0000-0000A5000000}"/>
    <cellStyle name="Normal 2 8" xfId="165" xr:uid="{00000000-0005-0000-0000-0000A6000000}"/>
    <cellStyle name="Normal 2 9" xfId="166" xr:uid="{00000000-0005-0000-0000-0000A7000000}"/>
    <cellStyle name="Normal 2_13.02 (2)" xfId="167" xr:uid="{00000000-0005-0000-0000-0000A8000000}"/>
    <cellStyle name="Normal 3" xfId="168" xr:uid="{00000000-0005-0000-0000-0000A9000000}"/>
    <cellStyle name="Normal 3 2" xfId="169" xr:uid="{00000000-0005-0000-0000-0000AA000000}"/>
    <cellStyle name="Normal 3 2 2 2 2 2 6" xfId="248" xr:uid="{97E6EEEF-5AEA-4C02-A7D9-30D7E1E944B4}"/>
    <cellStyle name="Normal 3 3" xfId="170" xr:uid="{00000000-0005-0000-0000-0000AB000000}"/>
    <cellStyle name="Normal 3 3 2" xfId="171" xr:uid="{00000000-0005-0000-0000-0000AC000000}"/>
    <cellStyle name="Normal 3 4" xfId="172" xr:uid="{00000000-0005-0000-0000-0000AD000000}"/>
    <cellStyle name="Normal 3 4 2" xfId="173" xr:uid="{00000000-0005-0000-0000-0000AE000000}"/>
    <cellStyle name="Normal 3 4 2 4" xfId="239" xr:uid="{507B5E0E-E48E-4C38-8654-4762C949819C}"/>
    <cellStyle name="Normal 3 5" xfId="174" xr:uid="{00000000-0005-0000-0000-0000AF000000}"/>
    <cellStyle name="Normal 4" xfId="175" xr:uid="{00000000-0005-0000-0000-0000B0000000}"/>
    <cellStyle name="Normal 4 2" xfId="176" xr:uid="{00000000-0005-0000-0000-0000B1000000}"/>
    <cellStyle name="Normal 4 3" xfId="177" xr:uid="{00000000-0005-0000-0000-0000B2000000}"/>
    <cellStyle name="Normal 4 4" xfId="178" xr:uid="{00000000-0005-0000-0000-0000B3000000}"/>
    <cellStyle name="Normal 5" xfId="179" xr:uid="{00000000-0005-0000-0000-0000B4000000}"/>
    <cellStyle name="Normal 5 2" xfId="180" xr:uid="{00000000-0005-0000-0000-0000B5000000}"/>
    <cellStyle name="Normal 5 3" xfId="181" xr:uid="{00000000-0005-0000-0000-0000B6000000}"/>
    <cellStyle name="Normal 5 4" xfId="182" xr:uid="{00000000-0005-0000-0000-0000B7000000}"/>
    <cellStyle name="Normal 5 5" xfId="183" xr:uid="{00000000-0005-0000-0000-0000B8000000}"/>
    <cellStyle name="Normal 5 6" xfId="184" xr:uid="{00000000-0005-0000-0000-0000B9000000}"/>
    <cellStyle name="Normal 6" xfId="185" xr:uid="{00000000-0005-0000-0000-0000BA000000}"/>
    <cellStyle name="Normal 6 2" xfId="186" xr:uid="{00000000-0005-0000-0000-0000BB000000}"/>
    <cellStyle name="Normal 6 3" xfId="187" xr:uid="{00000000-0005-0000-0000-0000BC000000}"/>
    <cellStyle name="Normal 6 4" xfId="188" xr:uid="{00000000-0005-0000-0000-0000BD000000}"/>
    <cellStyle name="Normal 7" xfId="189" xr:uid="{00000000-0005-0000-0000-0000BE000000}"/>
    <cellStyle name="Normal 8" xfId="190" xr:uid="{00000000-0005-0000-0000-0000BF000000}"/>
    <cellStyle name="Normal 9" xfId="191" xr:uid="{00000000-0005-0000-0000-0000C0000000}"/>
    <cellStyle name="Normal 9 5" xfId="192" xr:uid="{00000000-0005-0000-0000-0000C1000000}"/>
    <cellStyle name="Notas 2" xfId="193" xr:uid="{00000000-0005-0000-0000-0000C2000000}"/>
    <cellStyle name="Notas 2 2" xfId="194" xr:uid="{00000000-0005-0000-0000-0000C3000000}"/>
    <cellStyle name="Notas 2 3" xfId="195" xr:uid="{00000000-0005-0000-0000-0000C4000000}"/>
    <cellStyle name="Porcentaje 2" xfId="196" xr:uid="{00000000-0005-0000-0000-0000C5000000}"/>
    <cellStyle name="Porcentaje 3" xfId="197" xr:uid="{00000000-0005-0000-0000-0000C6000000}"/>
    <cellStyle name="Porcentual 2" xfId="198" xr:uid="{00000000-0005-0000-0000-0000C7000000}"/>
    <cellStyle name="Porcentual 3" xfId="199" xr:uid="{00000000-0005-0000-0000-0000C8000000}"/>
    <cellStyle name="Salida 2" xfId="200" xr:uid="{00000000-0005-0000-0000-0000C9000000}"/>
    <cellStyle name="Salida 2 2" xfId="201" xr:uid="{00000000-0005-0000-0000-0000CA000000}"/>
    <cellStyle name="Salida 2 3" xfId="202" xr:uid="{00000000-0005-0000-0000-0000CB000000}"/>
    <cellStyle name="Texto de advertencia 2" xfId="203" xr:uid="{00000000-0005-0000-0000-0000CC000000}"/>
    <cellStyle name="Texto explicativo 2" xfId="204" xr:uid="{00000000-0005-0000-0000-0000CD000000}"/>
    <cellStyle name="Título 1 2" xfId="205" xr:uid="{00000000-0005-0000-0000-0000CE000000}"/>
    <cellStyle name="Título 2 2" xfId="206" xr:uid="{00000000-0005-0000-0000-0000CF000000}"/>
    <cellStyle name="Título 3 2" xfId="207" xr:uid="{00000000-0005-0000-0000-0000D0000000}"/>
    <cellStyle name="Título 3 2 2" xfId="208" xr:uid="{00000000-0005-0000-0000-0000D1000000}"/>
    <cellStyle name="Título 4" xfId="209" xr:uid="{00000000-0005-0000-0000-0000D2000000}"/>
    <cellStyle name="Total 2" xfId="210" xr:uid="{00000000-0005-0000-0000-0000D3000000}"/>
    <cellStyle name="Total 2 2" xfId="211" xr:uid="{00000000-0005-0000-0000-0000D4000000}"/>
    <cellStyle name="Total 2 3" xfId="212" xr:uid="{00000000-0005-0000-0000-0000D5000000}"/>
    <cellStyle name="好" xfId="213" xr:uid="{00000000-0005-0000-0000-0000D6000000}"/>
    <cellStyle name="差" xfId="214" xr:uid="{00000000-0005-0000-0000-0000D7000000}"/>
    <cellStyle name="常规_Sheet1" xfId="215" xr:uid="{00000000-0005-0000-0000-0000D8000000}"/>
    <cellStyle name="强调文字颜色 1" xfId="216" xr:uid="{00000000-0005-0000-0000-0000D9000000}"/>
    <cellStyle name="强调文字颜色 2" xfId="217" xr:uid="{00000000-0005-0000-0000-0000DA000000}"/>
    <cellStyle name="强调文字颜色 3" xfId="218" xr:uid="{00000000-0005-0000-0000-0000DB000000}"/>
    <cellStyle name="强调文字颜色 4" xfId="219" xr:uid="{00000000-0005-0000-0000-0000DC000000}"/>
    <cellStyle name="强调文字颜色 5" xfId="220" xr:uid="{00000000-0005-0000-0000-0000DD000000}"/>
    <cellStyle name="强调文字颜色 6" xfId="221" xr:uid="{00000000-0005-0000-0000-0000DE000000}"/>
    <cellStyle name="标题" xfId="222" xr:uid="{00000000-0005-0000-0000-0000DF000000}"/>
    <cellStyle name="标题 1" xfId="223" xr:uid="{00000000-0005-0000-0000-0000E0000000}"/>
    <cellStyle name="标题 2" xfId="224" xr:uid="{00000000-0005-0000-0000-0000E1000000}"/>
    <cellStyle name="标题 3" xfId="225" xr:uid="{00000000-0005-0000-0000-0000E2000000}"/>
    <cellStyle name="标题 4" xfId="226" xr:uid="{00000000-0005-0000-0000-0000E3000000}"/>
    <cellStyle name="检查单元格" xfId="227" xr:uid="{00000000-0005-0000-0000-0000E4000000}"/>
    <cellStyle name="汇总" xfId="228" xr:uid="{00000000-0005-0000-0000-0000E5000000}"/>
    <cellStyle name="注释" xfId="229" xr:uid="{00000000-0005-0000-0000-0000E6000000}"/>
    <cellStyle name="解释性文本" xfId="230" xr:uid="{00000000-0005-0000-0000-0000E7000000}"/>
    <cellStyle name="警告文本" xfId="231" xr:uid="{00000000-0005-0000-0000-0000E8000000}"/>
    <cellStyle name="计算" xfId="232" xr:uid="{00000000-0005-0000-0000-0000E9000000}"/>
    <cellStyle name="输入" xfId="233" xr:uid="{00000000-0005-0000-0000-0000EA000000}"/>
    <cellStyle name="输出" xfId="234" xr:uid="{00000000-0005-0000-0000-0000EB000000}"/>
    <cellStyle name="适中" xfId="235" xr:uid="{00000000-0005-0000-0000-0000EC000000}"/>
    <cellStyle name="链接单元格" xfId="236" xr:uid="{00000000-0005-0000-0000-0000ED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291085</xdr:colOff>
      <xdr:row>3</xdr:row>
      <xdr:rowOff>493059</xdr:rowOff>
    </xdr:from>
    <xdr:to>
      <xdr:col>4</xdr:col>
      <xdr:colOff>1202405</xdr:colOff>
      <xdr:row>3</xdr:row>
      <xdr:rowOff>1703293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B18FB510-1209-032A-C744-80AA8D181F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00350" y="2218765"/>
          <a:ext cx="911320" cy="1210234"/>
        </a:xfrm>
        <a:prstGeom prst="rect">
          <a:avLst/>
        </a:prstGeom>
      </xdr:spPr>
    </xdr:pic>
    <xdr:clientData/>
  </xdr:twoCellAnchor>
  <xdr:twoCellAnchor editAs="oneCell">
    <xdr:from>
      <xdr:col>4</xdr:col>
      <xdr:colOff>705972</xdr:colOff>
      <xdr:row>3</xdr:row>
      <xdr:rowOff>1792941</xdr:rowOff>
    </xdr:from>
    <xdr:to>
      <xdr:col>4</xdr:col>
      <xdr:colOff>2375647</xdr:colOff>
      <xdr:row>3</xdr:row>
      <xdr:rowOff>2913009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938713A-D58D-BBDE-3113-1FE04764DC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115237" y="3518647"/>
          <a:ext cx="1669675" cy="1120068"/>
        </a:xfrm>
        <a:prstGeom prst="rect">
          <a:avLst/>
        </a:prstGeom>
      </xdr:spPr>
    </xdr:pic>
    <xdr:clientData/>
  </xdr:twoCellAnchor>
  <xdr:twoCellAnchor editAs="oneCell">
    <xdr:from>
      <xdr:col>4</xdr:col>
      <xdr:colOff>1333499</xdr:colOff>
      <xdr:row>3</xdr:row>
      <xdr:rowOff>302560</xdr:rowOff>
    </xdr:from>
    <xdr:to>
      <xdr:col>4</xdr:col>
      <xdr:colOff>2900042</xdr:colOff>
      <xdr:row>3</xdr:row>
      <xdr:rowOff>1781735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8493A6E0-9BB2-DC66-310C-CC464F8BBC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742764" y="2028266"/>
          <a:ext cx="1566543" cy="147917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_Documentos%20PC2\7.%20COTIZACIONES%20OTROS\AVON%20PERU_INCENTIVOS\2.NUEVOS%20PRODUCTOS\IIIQ2009\PRECOTIZAC.%20FINAL_INCENT.3Q09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254\Marketing\_Documentos%20PC2\7.%20COTIZACIONES%20OTROS\AVON%20PERU_INCENTIVOS\2.NUEVOS%20PRODUCTOS\IIIQ2009\PRECOTIZAC.%20FINAL_INCENT.3Q09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LLAR"/>
      <sheetName val="ARETE"/>
      <sheetName val="PUL."/>
      <sheetName val="ANILLO"/>
      <sheetName val="ACC.CELU"/>
      <sheetName val="C.Rectangulo"/>
      <sheetName val="C.Aros"/>
      <sheetName val="C.Luna"/>
      <sheetName val="C.Dados"/>
      <sheetName val="C.Completo Dados"/>
      <sheetName val="Colección. corazón-llave"/>
      <sheetName val="C. REMOLINO"/>
      <sheetName val="Colección Turquesa"/>
      <sheetName val="BD INSUMOS"/>
      <sheetName val="LISTA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>
        <row r="2">
          <cell r="A2" t="str">
            <v>ACCESORIO LAGRIMA TURQUEZA</v>
          </cell>
        </row>
        <row r="3">
          <cell r="A3" t="str">
            <v>ANILLO REGULABLE DE BRONCE MA1</v>
          </cell>
        </row>
        <row r="4">
          <cell r="A4" t="str">
            <v>ANILLO REGULABLE DE BRONCE MA2</v>
          </cell>
        </row>
        <row r="5">
          <cell r="A5" t="str">
            <v>ANILLO REGULABLE DE BRONCE MA3</v>
          </cell>
        </row>
        <row r="6">
          <cell r="A6" t="str">
            <v>ANILLO REGULABLE DE BRONCE MA4</v>
          </cell>
        </row>
        <row r="7">
          <cell r="A7" t="str">
            <v>ANILLO REGULABLE DE BRONCE MA5</v>
          </cell>
        </row>
        <row r="8">
          <cell r="A8" t="str">
            <v>ANILLO REGULABLE DE BRONCE MA6</v>
          </cell>
        </row>
        <row r="9">
          <cell r="A9" t="str">
            <v>ANILLO REGULABLE DE BRONCE MA7</v>
          </cell>
        </row>
        <row r="10">
          <cell r="A10" t="str">
            <v>ARGOLLA LINK 0.7MM ESP X 3.0 MM INT</v>
          </cell>
        </row>
        <row r="11">
          <cell r="A11" t="str">
            <v>ARGOLLA LINK 0.7MM ESP. X 3.5 MM INT</v>
          </cell>
        </row>
        <row r="12">
          <cell r="A12" t="str">
            <v>ARGOLLA LINK 0.9MM ESP X 4.5MM INT</v>
          </cell>
        </row>
        <row r="13">
          <cell r="A13" t="str">
            <v>ARGOLLA LINK 0.9MM ESP X 6MM INT</v>
          </cell>
        </row>
        <row r="14">
          <cell r="A14" t="str">
            <v>BOLSA AVON CHICA 74X76MM</v>
          </cell>
        </row>
        <row r="15">
          <cell r="A15" t="str">
            <v>BOLSA AVON GRANDE 165X172 MM</v>
          </cell>
        </row>
        <row r="16">
          <cell r="A16" t="str">
            <v>BOLSA AVON MEDIANO 102X100MM</v>
          </cell>
        </row>
        <row r="17">
          <cell r="A17" t="str">
            <v>BOLSA DE PANA ROSADA 5.5X5.5CM</v>
          </cell>
        </row>
        <row r="18">
          <cell r="A18" t="str">
            <v>BOLSA DE PROLIPROPILENO 40X20CM</v>
          </cell>
        </row>
        <row r="19">
          <cell r="A19" t="str">
            <v>BROCHE DISCO NIQUELADO</v>
          </cell>
        </row>
        <row r="20">
          <cell r="A20" t="str">
            <v>BROCHE DISCO PLATEADO</v>
          </cell>
        </row>
        <row r="21">
          <cell r="A21" t="str">
            <v>BROCHE SIN DISCO NIQUELADO</v>
          </cell>
        </row>
        <row r="22">
          <cell r="A22" t="str">
            <v>BROCHE SIN DISCO PLATEADO</v>
          </cell>
        </row>
        <row r="23">
          <cell r="A23" t="str">
            <v>CADENA CORDON 0.35</v>
          </cell>
        </row>
        <row r="24">
          <cell r="A24" t="str">
            <v>CADENA ESLABONADA ANCORA 0.4MM</v>
          </cell>
        </row>
        <row r="25">
          <cell r="A25" t="str">
            <v>CADENA ESLABONADA ANCORA 0.6MM</v>
          </cell>
        </row>
        <row r="26">
          <cell r="A26" t="str">
            <v>CADENA ESLABONADA ANCORA 0.6MM GDE</v>
          </cell>
        </row>
        <row r="27">
          <cell r="A27" t="str">
            <v>CADENA ESLABONADA ANCORA 0.9MM</v>
          </cell>
        </row>
        <row r="28">
          <cell r="A28" t="str">
            <v>CADENA ESLABONADA ANCORA DE 1.4MM</v>
          </cell>
        </row>
        <row r="29">
          <cell r="A29" t="str">
            <v>CADENA ESLABONADA BISMARC 0.6MM</v>
          </cell>
        </row>
        <row r="30">
          <cell r="A30" t="str">
            <v>CADENA PANZER 1.2MM</v>
          </cell>
        </row>
        <row r="31">
          <cell r="A31" t="str">
            <v>CADENA PANZER 1.5MM EXT</v>
          </cell>
        </row>
        <row r="32">
          <cell r="A32" t="str">
            <v>CADENA REGULABLE</v>
          </cell>
        </row>
        <row r="33">
          <cell r="A33" t="str">
            <v>CADENA SNAKE 1.2MM LOC - EXT</v>
          </cell>
        </row>
        <row r="34">
          <cell r="A34" t="str">
            <v>CADENA SNAKE 1.5MM EXT</v>
          </cell>
        </row>
        <row r="35">
          <cell r="A35" t="str">
            <v>CADENA SNAKE 1.9MM EXT</v>
          </cell>
        </row>
        <row r="36">
          <cell r="A36" t="str">
            <v>CAJA AVON CHICA AZULINO</v>
          </cell>
        </row>
        <row r="37">
          <cell r="A37" t="str">
            <v>CAJA AVON CHICO VERDE</v>
          </cell>
        </row>
        <row r="38">
          <cell r="A38" t="str">
            <v>CAJA AVON GRANDE AZULINO</v>
          </cell>
        </row>
        <row r="39">
          <cell r="A39" t="str">
            <v>CAJA AVON GRANDE GUINDA</v>
          </cell>
        </row>
        <row r="40">
          <cell r="A40" t="str">
            <v>CAJA AVON MASTER</v>
          </cell>
        </row>
        <row r="41">
          <cell r="A41" t="str">
            <v>CAJA AVON MEDIANA AZULINO</v>
          </cell>
        </row>
        <row r="42">
          <cell r="A42" t="str">
            <v>CAJA AVON MEDIANO VERDE</v>
          </cell>
        </row>
        <row r="43">
          <cell r="A43" t="str">
            <v>CIERRE LOBSTER 11MM</v>
          </cell>
        </row>
        <row r="44">
          <cell r="A44" t="str">
            <v>CIERRE LOBSTER 14MM</v>
          </cell>
        </row>
        <row r="45">
          <cell r="A45" t="str">
            <v>CINTA GAMUZA LILA</v>
          </cell>
        </row>
        <row r="46">
          <cell r="A46" t="str">
            <v>CUENTA FACETADA 4MM CRISTAL</v>
          </cell>
        </row>
        <row r="47">
          <cell r="A47" t="str">
            <v>CUENTA FACETADA 4MM ROJA</v>
          </cell>
        </row>
        <row r="48">
          <cell r="A48" t="str">
            <v>CUENTA FACETADA 4MM ROSADA</v>
          </cell>
        </row>
        <row r="49">
          <cell r="A49" t="str">
            <v>CUENTA FACETADA 8MM LILA</v>
          </cell>
        </row>
        <row r="50">
          <cell r="A50" t="str">
            <v>CUENTA FACETADA 8MM LILA CLARO</v>
          </cell>
        </row>
        <row r="51">
          <cell r="A51" t="str">
            <v>CUENTA FACETADA 8MM ROSADO</v>
          </cell>
        </row>
        <row r="52">
          <cell r="A52" t="str">
            <v>CUENTA FACETADA ROMBO 6MM CELESTE</v>
          </cell>
        </row>
        <row r="53">
          <cell r="A53" t="str">
            <v>CUENTA FACETADA ROMBO 6MM ROSADO</v>
          </cell>
        </row>
        <row r="54">
          <cell r="A54" t="str">
            <v>CUENTA REDONDA 4MM AZUL</v>
          </cell>
        </row>
        <row r="55">
          <cell r="A55" t="str">
            <v>CUENTA REDONDA 4MM CELESTE</v>
          </cell>
        </row>
        <row r="56">
          <cell r="A56" t="str">
            <v>CUENTA REDONDA 4MM CRISTAL</v>
          </cell>
        </row>
        <row r="57">
          <cell r="A57" t="str">
            <v>CUENTA REDONDA 4MM MARRON</v>
          </cell>
        </row>
        <row r="58">
          <cell r="A58" t="str">
            <v>CUENTA REDONDA 4MM TURQUEZA CLARO</v>
          </cell>
        </row>
        <row r="59">
          <cell r="A59" t="str">
            <v>CUENTA REDONDA 4MM VERDE</v>
          </cell>
        </row>
        <row r="60">
          <cell r="A60" t="str">
            <v>CUENTA REDONDA 4MM VERDE CLARO</v>
          </cell>
        </row>
        <row r="61">
          <cell r="A61" t="str">
            <v>CUENTA REDONDA 8MM AZUL</v>
          </cell>
        </row>
        <row r="62">
          <cell r="A62" t="str">
            <v>CUENTA REDONDA 8MM CELESTE</v>
          </cell>
        </row>
        <row r="63">
          <cell r="A63" t="str">
            <v>CUENTA REDONDA 8MM MARRON</v>
          </cell>
        </row>
        <row r="64">
          <cell r="A64" t="str">
            <v>CUENTA REDONDA 8MM VERDE</v>
          </cell>
        </row>
        <row r="65">
          <cell r="A65" t="str">
            <v>HILO ELASTICO 0.6MM</v>
          </cell>
        </row>
        <row r="66">
          <cell r="A66" t="str">
            <v>HUAYRURO CHICO</v>
          </cell>
        </row>
        <row r="67">
          <cell r="A67" t="str">
            <v>JEBE RUBBER PARA PASADOR</v>
          </cell>
        </row>
        <row r="68">
          <cell r="A68" t="str">
            <v>METAL 96 FREE PLOMO</v>
          </cell>
        </row>
        <row r="69">
          <cell r="A69" t="str">
            <v>METAL BLANCO 36% ESTAÑO</v>
          </cell>
        </row>
        <row r="70">
          <cell r="A70" t="str">
            <v>METAL BLANCO 92% ESTAÑO</v>
          </cell>
        </row>
        <row r="71">
          <cell r="A71" t="str">
            <v>MONEDA DE BRONCE 1H 15MM DIA</v>
          </cell>
        </row>
        <row r="72">
          <cell r="A72" t="str">
            <v>MONEDA DE BRONCE 2H 15MM DIAM</v>
          </cell>
        </row>
        <row r="73">
          <cell r="A73" t="str">
            <v>MOSTACILLA DE BRONCE 3MM APLASTAR</v>
          </cell>
        </row>
        <row r="74">
          <cell r="A74" t="str">
            <v>MOSTACILLA DE BRONCE 8MM DIA</v>
          </cell>
        </row>
        <row r="75">
          <cell r="A75" t="str">
            <v>PASADOR ASA SIMPLE</v>
          </cell>
        </row>
        <row r="76">
          <cell r="A76" t="str">
            <v>PASADOR ASA YANBAL</v>
          </cell>
        </row>
        <row r="77">
          <cell r="A77" t="str">
            <v>PASADOR ESPAÑOL</v>
          </cell>
        </row>
        <row r="78">
          <cell r="A78" t="str">
            <v>PERLA 2H 6MM ARENADA ROSADA</v>
          </cell>
        </row>
        <row r="79">
          <cell r="A79" t="str">
            <v>PERLA 2H 6MM ARENADA VERDE CLARO</v>
          </cell>
        </row>
        <row r="80">
          <cell r="A80" t="str">
            <v>PERLA 2H 8MM PLATEADA</v>
          </cell>
        </row>
        <row r="81">
          <cell r="A81" t="str">
            <v>PERLA 2HB 4MM LILA</v>
          </cell>
        </row>
        <row r="82">
          <cell r="A82" t="str">
            <v>PERLA 2HB 6MM TURQUEZA</v>
          </cell>
        </row>
        <row r="83">
          <cell r="A83" t="str">
            <v>PERLA 2HB 8MM LILA</v>
          </cell>
        </row>
        <row r="84">
          <cell r="A84" t="str">
            <v>PERLA 2HB GRIS 4MM</v>
          </cell>
        </row>
        <row r="85">
          <cell r="A85" t="str">
            <v>PERLA 2HB GRIS 6MM</v>
          </cell>
        </row>
        <row r="86">
          <cell r="A86" t="str">
            <v>PIEDRA  PP12/SS5.5 CRISTAL CH</v>
          </cell>
        </row>
        <row r="87">
          <cell r="A87" t="str">
            <v>PIEDRA PP10/SS4.5 CRISTAL STD</v>
          </cell>
        </row>
        <row r="88">
          <cell r="A88" t="str">
            <v>PIEDRA PP12/SS5.5 CRISTAL STD</v>
          </cell>
        </row>
        <row r="89">
          <cell r="A89" t="str">
            <v>PIEDRA PP12/SS5.5 LIGHT SIAM CH</v>
          </cell>
        </row>
        <row r="90">
          <cell r="A90" t="str">
            <v>PIEDRA PP12/SS5.5 LIGHT TOPAZ CH</v>
          </cell>
        </row>
        <row r="91">
          <cell r="A91" t="str">
            <v>PIEDRA PP12/SS5.5 PERIDOT CH</v>
          </cell>
        </row>
        <row r="92">
          <cell r="A92" t="str">
            <v>PIEDRA PP12/SS5.5 ROSE CH</v>
          </cell>
        </row>
        <row r="93">
          <cell r="A93" t="str">
            <v>PIEDRA PP12/SS5.5 SHAPIRE CH</v>
          </cell>
        </row>
        <row r="94">
          <cell r="A94" t="str">
            <v>PIEDRA PP15/SS7 CRISTAL STD</v>
          </cell>
        </row>
        <row r="95">
          <cell r="A95" t="str">
            <v>PIEDRA PP16/SS7.5 CRISTAL STD</v>
          </cell>
        </row>
        <row r="96">
          <cell r="A96" t="str">
            <v>PIEDRA PP16/SS7.5 LIGTH SAPHIRE CH</v>
          </cell>
        </row>
        <row r="97">
          <cell r="A97" t="str">
            <v>PIEDRA PP16/SS7.5 LT AMATISTA CH</v>
          </cell>
        </row>
        <row r="98">
          <cell r="A98" t="str">
            <v>PIEDRA PP16/SS7.5 LT TOPAZ CH</v>
          </cell>
        </row>
        <row r="99">
          <cell r="A99" t="str">
            <v>PIEDRA PP16/SS7.5 PERIDOT CH</v>
          </cell>
        </row>
        <row r="100">
          <cell r="A100" t="str">
            <v>PIEDRA PP16/SS7.5 ROSE CH</v>
          </cell>
        </row>
        <row r="101">
          <cell r="A101" t="str">
            <v>PIEDRA PP16/SS7.5 SAPHIRE CH</v>
          </cell>
        </row>
        <row r="102">
          <cell r="A102" t="str">
            <v>PIEDRA PP16/SS7.5 TOPAZ CH</v>
          </cell>
        </row>
        <row r="103">
          <cell r="A103" t="str">
            <v>PIEDRA PP18/SS8.5 CRISTAL STD</v>
          </cell>
        </row>
        <row r="104">
          <cell r="A104" t="str">
            <v>PIEDRA PP20/SS9.5 CRISTAL CH</v>
          </cell>
        </row>
        <row r="105">
          <cell r="A105" t="str">
            <v>PIEDRA PP20/SS9.5 CRISTAL STD</v>
          </cell>
        </row>
        <row r="106">
          <cell r="A106" t="str">
            <v>PIEDRA PP24/SS12 CRISTAL STD</v>
          </cell>
        </row>
        <row r="107">
          <cell r="A107" t="str">
            <v>PIEDRA PP29/SS15 AMATISTA CH</v>
          </cell>
        </row>
        <row r="108">
          <cell r="A108" t="str">
            <v>PIEDRA PP29/SS15 AQUAMARINE CH</v>
          </cell>
        </row>
        <row r="109">
          <cell r="A109" t="str">
            <v>PIEDRA PP29/SS15 CRISTAL STD</v>
          </cell>
        </row>
        <row r="110">
          <cell r="A110" t="str">
            <v>PIEDRA PP8/SS3.5 CRISTAL STD</v>
          </cell>
        </row>
        <row r="111">
          <cell r="A111" t="str">
            <v>PIEDRA SS20 CRISTAL STD</v>
          </cell>
        </row>
        <row r="112">
          <cell r="A112" t="str">
            <v>PIEDRA SS30 CRISTAL STD</v>
          </cell>
        </row>
        <row r="113">
          <cell r="A113" t="str">
            <v>PITA DE CUERO 1.5MM X 40CM FUCSIA</v>
          </cell>
        </row>
        <row r="114">
          <cell r="A114" t="str">
            <v>PITA DE CUERO 1.5MM X 45CM TURQUEZA</v>
          </cell>
        </row>
        <row r="115">
          <cell r="A115" t="str">
            <v>PITA ENCERADA LILA</v>
          </cell>
        </row>
        <row r="116">
          <cell r="A116" t="str">
            <v>POSTE ACERADO 12MM GRANDE</v>
          </cell>
        </row>
        <row r="117">
          <cell r="A117" t="str">
            <v>POSTE ACERADO CHICO</v>
          </cell>
        </row>
        <row r="118">
          <cell r="A118" t="str">
            <v>POSTE EP 0.7MMX20MM</v>
          </cell>
        </row>
        <row r="119">
          <cell r="A119" t="str">
            <v>POSTE HP 0.7MMX13MM</v>
          </cell>
        </row>
        <row r="120">
          <cell r="A120" t="str">
            <v>POSTE HP 0.7MMX14MM</v>
          </cell>
        </row>
        <row r="121">
          <cell r="A121" t="str">
            <v>POSTE HP 0.7MMX16MM</v>
          </cell>
        </row>
        <row r="122">
          <cell r="A122" t="str">
            <v>POSTE HP 0.7MMX20MM</v>
          </cell>
        </row>
        <row r="123">
          <cell r="A123" t="str">
            <v>POSTE HP 0.7MMX20MM CABEZA GRANDE</v>
          </cell>
        </row>
        <row r="124">
          <cell r="A124" t="str">
            <v>POSTE TITANIO</v>
          </cell>
        </row>
        <row r="125">
          <cell r="A125" t="str">
            <v>STICKER BARBIE CHICO</v>
          </cell>
        </row>
        <row r="126">
          <cell r="A126" t="str">
            <v>STICKER BARBIE GRANDE</v>
          </cell>
        </row>
        <row r="127">
          <cell r="A127" t="str">
            <v>TERMINAL END CAP 1.2MM EXT</v>
          </cell>
        </row>
        <row r="128">
          <cell r="A128" t="str">
            <v>TERMINAL END CAP 1.5MM EXT</v>
          </cell>
        </row>
        <row r="129">
          <cell r="A129" t="str">
            <v>TERMINAL END CAP 1.9MM</v>
          </cell>
        </row>
        <row r="130">
          <cell r="A130" t="str">
            <v>TROQUEL BASE AVON CHICO CELESTE</v>
          </cell>
        </row>
        <row r="131">
          <cell r="A131" t="str">
            <v>TROQUEL BASE AVON CHICO CREMA</v>
          </cell>
        </row>
        <row r="132">
          <cell r="A132" t="str">
            <v>TROQUEL BASE AVON GRANDE CELESTE</v>
          </cell>
        </row>
        <row r="133">
          <cell r="A133" t="str">
            <v>TROQUEL BASE AVON GRANDE GUINDA</v>
          </cell>
        </row>
        <row r="134">
          <cell r="A134" t="str">
            <v>TROQUEL BASE AVON MEDIANO CELESTE</v>
          </cell>
        </row>
        <row r="135">
          <cell r="A135" t="str">
            <v>TROQUEL BASE AVON MEDIANO CREMA</v>
          </cell>
        </row>
        <row r="136">
          <cell r="A136" t="str">
            <v>TROQUEL TAPA AVON CHICO CREMA</v>
          </cell>
        </row>
        <row r="137">
          <cell r="A137" t="str">
            <v>TROQUEL TAPA AVON CHICO GRIS</v>
          </cell>
        </row>
        <row r="138">
          <cell r="A138" t="str">
            <v>TROQUEL TAPA AVON GRANDE CREMA</v>
          </cell>
        </row>
        <row r="139">
          <cell r="A139" t="str">
            <v>TROQUEL TAPA AVON GRANDE GRIS</v>
          </cell>
        </row>
        <row r="140">
          <cell r="A140" t="str">
            <v>TROQUEL TAPA AVON MEDIANO CREMA</v>
          </cell>
        </row>
        <row r="141">
          <cell r="A141" t="str">
            <v>TROQUEL TAPA AVON MEDIANO GRIS</v>
          </cell>
        </row>
        <row r="142">
          <cell r="A142" t="str">
            <v>NINGUNO</v>
          </cell>
        </row>
      </sheetData>
      <sheetData sheetId="14" refreshError="1">
        <row r="8">
          <cell r="G8" t="str">
            <v>COLLAR</v>
          </cell>
          <cell r="H8" t="str">
            <v>ARETES</v>
          </cell>
          <cell r="I8" t="str">
            <v>ANILLO</v>
          </cell>
          <cell r="J8" t="str">
            <v>PULSERA</v>
          </cell>
        </row>
        <row r="10">
          <cell r="A10" t="str">
            <v>C1-2009</v>
          </cell>
          <cell r="C10" t="str">
            <v>JOYERIA</v>
          </cell>
        </row>
        <row r="11">
          <cell r="A11" t="str">
            <v>C2-2009</v>
          </cell>
          <cell r="C11" t="str">
            <v>INCENTIVOS</v>
          </cell>
        </row>
        <row r="12">
          <cell r="A12" t="str">
            <v>C3-2009</v>
          </cell>
          <cell r="C12" t="str">
            <v>APOYO COSMETICA</v>
          </cell>
        </row>
        <row r="13">
          <cell r="A13" t="str">
            <v>C4-2009</v>
          </cell>
          <cell r="C13" t="str">
            <v>HOGAR</v>
          </cell>
        </row>
        <row r="14">
          <cell r="A14" t="str">
            <v>C5-2009</v>
          </cell>
          <cell r="C14" t="str">
            <v>OTROS</v>
          </cell>
        </row>
        <row r="15">
          <cell r="A15" t="str">
            <v>C6-2009</v>
          </cell>
        </row>
        <row r="16">
          <cell r="A16" t="str">
            <v>C7-2009</v>
          </cell>
        </row>
        <row r="17">
          <cell r="A17" t="str">
            <v>C8-2009</v>
          </cell>
        </row>
        <row r="18">
          <cell r="A18" t="str">
            <v>C9-2009</v>
          </cell>
        </row>
        <row r="19">
          <cell r="A19" t="str">
            <v>C10-2009</v>
          </cell>
        </row>
        <row r="20">
          <cell r="A20" t="str">
            <v>C11-2009</v>
          </cell>
          <cell r="F20" t="str">
            <v>EPOXICO  COLLAR</v>
          </cell>
          <cell r="I20" t="str">
            <v>ANALISIS METAL</v>
          </cell>
        </row>
        <row r="21">
          <cell r="A21" t="str">
            <v>C12-2009</v>
          </cell>
          <cell r="F21" t="str">
            <v>EPOXICO ARETES</v>
          </cell>
          <cell r="I21" t="str">
            <v>ANALISIS METAL + 1 COLOR</v>
          </cell>
        </row>
        <row r="22">
          <cell r="A22" t="str">
            <v>C13-2009</v>
          </cell>
          <cell r="F22" t="str">
            <v>EPOXICO ANILLO</v>
          </cell>
          <cell r="I22" t="str">
            <v>ANALISIS METAL + 2 COLOR</v>
          </cell>
        </row>
        <row r="23">
          <cell r="A23" t="str">
            <v>C14-2009</v>
          </cell>
          <cell r="F23" t="str">
            <v>EPOXICO PULSERA</v>
          </cell>
          <cell r="I23" t="str">
            <v>ANALISIS METAL + 3 COLOR</v>
          </cell>
        </row>
        <row r="24">
          <cell r="A24" t="str">
            <v>C15-2009</v>
          </cell>
          <cell r="F24" t="str">
            <v>EPOXICO OTRO</v>
          </cell>
          <cell r="I24" t="str">
            <v>ANALISIS METAL + 4 COLOR</v>
          </cell>
        </row>
        <row r="25">
          <cell r="A25" t="str">
            <v>C16-2009</v>
          </cell>
          <cell r="F25" t="str">
            <v>EPOXICO</v>
          </cell>
          <cell r="I25" t="str">
            <v>ANALISIS METAL + 5 COLOR</v>
          </cell>
        </row>
        <row r="26">
          <cell r="A26" t="str">
            <v>C17-2009</v>
          </cell>
          <cell r="F26" t="str">
            <v>SOLDADURA COLLAR</v>
          </cell>
          <cell r="I26" t="str">
            <v>ANALISIS OTRO</v>
          </cell>
        </row>
        <row r="27">
          <cell r="A27" t="str">
            <v>C18-2009</v>
          </cell>
          <cell r="F27" t="str">
            <v>SOLDADURA ARETES</v>
          </cell>
          <cell r="I27" t="str">
            <v>ANALISIS</v>
          </cell>
        </row>
        <row r="28">
          <cell r="A28" t="str">
            <v>C19-2009</v>
          </cell>
          <cell r="F28" t="str">
            <v>SOLDADURA ANILLO</v>
          </cell>
        </row>
        <row r="29">
          <cell r="A29" t="str">
            <v>CX-2009</v>
          </cell>
          <cell r="F29" t="str">
            <v>SOLDADURA PULSERA</v>
          </cell>
        </row>
        <row r="30">
          <cell r="F30" t="str">
            <v>SOLDADURA OTRO</v>
          </cell>
        </row>
        <row r="31">
          <cell r="F31" t="str">
            <v>SOLDADURA</v>
          </cell>
        </row>
        <row r="32">
          <cell r="F32" t="str">
            <v>BAÑO DE PLATA COLLAR</v>
          </cell>
        </row>
        <row r="33">
          <cell r="F33" t="str">
            <v>BAÑO DE BRONCE A. COLLAR</v>
          </cell>
        </row>
        <row r="34">
          <cell r="F34" t="str">
            <v>BAÑO DE PLATA ARETES</v>
          </cell>
        </row>
        <row r="35">
          <cell r="F35" t="str">
            <v>BAÑO DE BRONCE A. ARETES</v>
          </cell>
        </row>
        <row r="36">
          <cell r="F36" t="str">
            <v>BAÑO DE PLATA ANILLO</v>
          </cell>
        </row>
        <row r="37">
          <cell r="F37" t="str">
            <v>BAÑO DE BRONCE A. ANILLO</v>
          </cell>
        </row>
        <row r="38">
          <cell r="F38" t="str">
            <v>BAÑO DE PLATA PULSERA</v>
          </cell>
        </row>
        <row r="39">
          <cell r="F39" t="str">
            <v>BAÑO DE BRONCE A. PULSERA</v>
          </cell>
        </row>
        <row r="40">
          <cell r="F40" t="str">
            <v>BAÑO OTRO</v>
          </cell>
        </row>
        <row r="41">
          <cell r="F41" t="str">
            <v>BAÑO</v>
          </cell>
        </row>
        <row r="42">
          <cell r="F42" t="str">
            <v>MOD COLLAR</v>
          </cell>
        </row>
        <row r="43">
          <cell r="F43" t="str">
            <v>MOD ARETES</v>
          </cell>
        </row>
        <row r="44">
          <cell r="F44" t="str">
            <v>MOD ANILLOS</v>
          </cell>
        </row>
        <row r="45">
          <cell r="F45" t="str">
            <v>MOD PULSERAS</v>
          </cell>
        </row>
        <row r="46">
          <cell r="F46" t="str">
            <v>MOD OTRO.</v>
          </cell>
        </row>
        <row r="47">
          <cell r="F47" t="str">
            <v>MOD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LLAR"/>
      <sheetName val="ARETE"/>
      <sheetName val="PUL."/>
      <sheetName val="ANILLO"/>
      <sheetName val="ACC.CELU"/>
      <sheetName val="C.Rectangulo"/>
      <sheetName val="C.Aros"/>
      <sheetName val="C.Luna"/>
      <sheetName val="C.Dados"/>
      <sheetName val="C.Completo Dados"/>
      <sheetName val="Colección. corazón-llave"/>
      <sheetName val="C. REMOLINO"/>
      <sheetName val="Colección Turquesa"/>
      <sheetName val="BD INSUMOS"/>
      <sheetName val="LISTA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2">
          <cell r="A2" t="str">
            <v>ACCESORIO LAGRIMA TURQUEZA</v>
          </cell>
        </row>
      </sheetData>
      <sheetData sheetId="14" refreshError="1">
        <row r="8">
          <cell r="G8" t="str">
            <v>COLLAR</v>
          </cell>
        </row>
        <row r="20">
          <cell r="I20" t="str">
            <v>ANALISIS METAL</v>
          </cell>
        </row>
        <row r="21">
          <cell r="I21" t="str">
            <v>ANALISIS METAL + 1 COLOR</v>
          </cell>
        </row>
        <row r="22">
          <cell r="I22" t="str">
            <v>ANALISIS METAL + 2 COLOR</v>
          </cell>
        </row>
        <row r="23">
          <cell r="I23" t="str">
            <v>ANALISIS METAL + 3 COLOR</v>
          </cell>
        </row>
        <row r="24">
          <cell r="I24" t="str">
            <v>ANALISIS METAL + 4 COLOR</v>
          </cell>
        </row>
        <row r="25">
          <cell r="I25" t="str">
            <v>ANALISIS METAL + 5 COLOR</v>
          </cell>
        </row>
        <row r="26">
          <cell r="I26" t="str">
            <v>ANALISIS OTRO</v>
          </cell>
        </row>
        <row r="27">
          <cell r="I27" t="str">
            <v>ANALISIS</v>
          </cell>
        </row>
        <row r="32">
          <cell r="F32" t="str">
            <v>BAÑO DE PLATA COLLAR</v>
          </cell>
        </row>
        <row r="33">
          <cell r="F33" t="str">
            <v>BAÑO DE BRONCE A. COLLAR</v>
          </cell>
        </row>
        <row r="34">
          <cell r="F34" t="str">
            <v>BAÑO DE PLATA ARETES</v>
          </cell>
        </row>
        <row r="35">
          <cell r="F35" t="str">
            <v>BAÑO DE BRONCE A. ARETES</v>
          </cell>
        </row>
        <row r="36">
          <cell r="F36" t="str">
            <v>BAÑO DE PLATA ANILLO</v>
          </cell>
        </row>
        <row r="37">
          <cell r="F37" t="str">
            <v>BAÑO DE BRONCE A. ANILLO</v>
          </cell>
        </row>
        <row r="38">
          <cell r="F38" t="str">
            <v>BAÑO DE PLATA PULSERA</v>
          </cell>
        </row>
        <row r="39">
          <cell r="F39" t="str">
            <v>BAÑO DE BRONCE A. PULSERA</v>
          </cell>
        </row>
        <row r="40">
          <cell r="F40" t="str">
            <v>BAÑO OTRO</v>
          </cell>
        </row>
        <row r="41">
          <cell r="F41" t="str">
            <v>BAÑO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560BC2-C392-4175-9A89-AF4D867D855D}">
  <dimension ref="A1:AJ4"/>
  <sheetViews>
    <sheetView tabSelected="1" zoomScale="85" zoomScaleNormal="85" workbookViewId="0">
      <selection activeCell="I10" sqref="I10"/>
    </sheetView>
  </sheetViews>
  <sheetFormatPr baseColWidth="10" defaultColWidth="11.42578125" defaultRowHeight="21"/>
  <cols>
    <col min="1" max="1" width="2.7109375" style="8" customWidth="1"/>
    <col min="2" max="2" width="6.42578125" bestFit="1" customWidth="1"/>
    <col min="3" max="3" width="13.5703125" customWidth="1"/>
    <col min="4" max="4" width="13.42578125" customWidth="1"/>
    <col min="5" max="5" width="49.42578125" customWidth="1"/>
    <col min="6" max="6" width="11" customWidth="1"/>
    <col min="7" max="7" width="17.140625" customWidth="1"/>
    <col min="8" max="8" width="18.5703125" customWidth="1"/>
    <col min="9" max="9" width="92.42578125" customWidth="1"/>
    <col min="10" max="10" width="34.85546875" customWidth="1"/>
    <col min="11" max="11" width="24.85546875" style="7" customWidth="1"/>
    <col min="12" max="12" width="16.85546875" customWidth="1"/>
    <col min="13" max="13" width="21.140625" customWidth="1"/>
    <col min="14" max="14" width="7" hidden="1" customWidth="1"/>
    <col min="15" max="15" width="19.140625" hidden="1" customWidth="1"/>
    <col min="16" max="16" width="17.85546875" customWidth="1"/>
    <col min="18" max="18" width="15.5703125" customWidth="1"/>
    <col min="19" max="19" width="29.85546875" customWidth="1"/>
    <col min="20" max="20" width="20.42578125" customWidth="1"/>
    <col min="21" max="21" width="12.28515625" customWidth="1"/>
    <col min="22" max="22" width="21.85546875" bestFit="1" customWidth="1"/>
    <col min="23" max="23" width="17.42578125" customWidth="1"/>
    <col min="24" max="24" width="21.28515625" customWidth="1"/>
    <col min="25" max="25" width="26.7109375" customWidth="1"/>
    <col min="26" max="26" width="20.42578125" customWidth="1"/>
    <col min="28" max="28" width="14.28515625" customWidth="1"/>
    <col min="29" max="29" width="17.85546875" customWidth="1"/>
    <col min="30" max="30" width="17.42578125" customWidth="1"/>
    <col min="31" max="31" width="16.140625" customWidth="1"/>
    <col min="32" max="32" width="19.140625" customWidth="1"/>
    <col min="33" max="33" width="21" customWidth="1"/>
    <col min="34" max="34" width="20.140625" customWidth="1"/>
    <col min="35" max="35" width="18.85546875" customWidth="1"/>
    <col min="36" max="36" width="19.140625" bestFit="1" customWidth="1"/>
  </cols>
  <sheetData>
    <row r="1" spans="1:36" ht="44.25" customHeight="1"/>
    <row r="2" spans="1:36" s="1" customFormat="1" ht="36.75" customHeight="1">
      <c r="A2" s="8"/>
      <c r="B2" s="48" t="s">
        <v>41</v>
      </c>
      <c r="C2" s="48"/>
      <c r="D2" s="48"/>
      <c r="E2" s="48"/>
      <c r="F2" s="48"/>
      <c r="G2" s="48"/>
      <c r="H2" s="48"/>
      <c r="I2" s="48"/>
      <c r="J2" s="48"/>
      <c r="K2" s="6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3"/>
      <c r="AD2" s="3"/>
      <c r="AE2" s="3"/>
      <c r="AF2" s="3"/>
      <c r="AG2" s="3"/>
      <c r="AH2" s="3"/>
      <c r="AI2" s="4"/>
      <c r="AJ2" s="4"/>
    </row>
    <row r="3" spans="1:36" s="1" customFormat="1" ht="39" customHeight="1">
      <c r="A3" s="8"/>
      <c r="B3" s="10" t="s">
        <v>0</v>
      </c>
      <c r="C3" s="10" t="s">
        <v>1</v>
      </c>
      <c r="D3" s="10" t="s">
        <v>2</v>
      </c>
      <c r="E3" s="11" t="s">
        <v>3</v>
      </c>
      <c r="F3" s="10" t="s">
        <v>4</v>
      </c>
      <c r="G3" s="12" t="s">
        <v>5</v>
      </c>
      <c r="H3" s="12" t="s">
        <v>6</v>
      </c>
      <c r="I3" s="12" t="s">
        <v>7</v>
      </c>
      <c r="J3" s="13" t="s">
        <v>8</v>
      </c>
      <c r="K3" s="5"/>
      <c r="L3" s="37" t="s">
        <v>9</v>
      </c>
      <c r="M3" s="38" t="s">
        <v>10</v>
      </c>
      <c r="N3" s="38" t="s">
        <v>11</v>
      </c>
      <c r="O3" s="38" t="s">
        <v>12</v>
      </c>
      <c r="P3" s="39" t="s">
        <v>13</v>
      </c>
      <c r="Q3" s="39" t="s">
        <v>14</v>
      </c>
      <c r="R3" s="39" t="s">
        <v>15</v>
      </c>
      <c r="S3" s="39" t="s">
        <v>16</v>
      </c>
      <c r="T3" s="39" t="s">
        <v>17</v>
      </c>
      <c r="U3" s="39" t="s">
        <v>18</v>
      </c>
      <c r="V3" s="39" t="s">
        <v>19</v>
      </c>
      <c r="W3" s="38" t="s">
        <v>20</v>
      </c>
      <c r="X3" s="38" t="s">
        <v>21</v>
      </c>
      <c r="Y3" s="40" t="s">
        <v>22</v>
      </c>
      <c r="Z3" s="40" t="s">
        <v>23</v>
      </c>
      <c r="AA3" s="40" t="s">
        <v>24</v>
      </c>
      <c r="AB3" s="40" t="s">
        <v>25</v>
      </c>
      <c r="AC3" s="40" t="s">
        <v>26</v>
      </c>
      <c r="AD3" s="40" t="s">
        <v>27</v>
      </c>
      <c r="AE3" s="38" t="s">
        <v>28</v>
      </c>
      <c r="AF3" s="38" t="s">
        <v>29</v>
      </c>
      <c r="AG3" s="41" t="s">
        <v>17</v>
      </c>
      <c r="AH3" s="42" t="s">
        <v>30</v>
      </c>
      <c r="AI3" s="42" t="s">
        <v>31</v>
      </c>
      <c r="AJ3" s="43" t="s">
        <v>32</v>
      </c>
    </row>
    <row r="4" spans="1:36" s="33" customFormat="1" ht="250.5" customHeight="1">
      <c r="A4" s="1" t="s">
        <v>33</v>
      </c>
      <c r="B4" s="23">
        <v>1</v>
      </c>
      <c r="C4" s="49" t="s">
        <v>35</v>
      </c>
      <c r="D4" s="49"/>
      <c r="E4" s="24"/>
      <c r="F4" s="9">
        <v>50</v>
      </c>
      <c r="G4" s="25">
        <v>23</v>
      </c>
      <c r="H4" s="26" t="s">
        <v>34</v>
      </c>
      <c r="I4" s="27" t="s">
        <v>39</v>
      </c>
      <c r="J4" s="28">
        <f>+F4*G4</f>
        <v>1150</v>
      </c>
      <c r="K4" s="47" t="s">
        <v>36</v>
      </c>
      <c r="L4" s="29" t="s">
        <v>38</v>
      </c>
      <c r="M4" s="50" t="s">
        <v>37</v>
      </c>
      <c r="N4" s="50"/>
      <c r="O4" s="50"/>
      <c r="P4" s="45">
        <f>580/50</f>
        <v>11.6</v>
      </c>
      <c r="Q4" s="34">
        <v>60</v>
      </c>
      <c r="R4" s="14">
        <f t="shared" ref="R4" si="0">P4*Q4/100</f>
        <v>6.96</v>
      </c>
      <c r="S4" s="15">
        <f t="shared" ref="S4" si="1">R4*U4</f>
        <v>348</v>
      </c>
      <c r="T4" s="16">
        <f t="shared" ref="T4" si="2">P4+R4</f>
        <v>18.559999999999999</v>
      </c>
      <c r="U4" s="34">
        <f t="shared" ref="U4" si="3">F4</f>
        <v>50</v>
      </c>
      <c r="V4" s="46">
        <f>P4*1</f>
        <v>11.6</v>
      </c>
      <c r="W4" s="30">
        <v>100</v>
      </c>
      <c r="X4" s="17">
        <f t="shared" ref="X4" si="4">U4*T4+V4+W4</f>
        <v>1039.5999999999999</v>
      </c>
      <c r="Y4" s="18" t="s">
        <v>40</v>
      </c>
      <c r="Z4" s="35">
        <v>100</v>
      </c>
      <c r="AA4" s="36">
        <v>1</v>
      </c>
      <c r="AB4" s="36">
        <v>1</v>
      </c>
      <c r="AC4" s="36">
        <v>1</v>
      </c>
      <c r="AD4" s="19">
        <f>Z4*AA4*AB4*AC4</f>
        <v>100</v>
      </c>
      <c r="AE4" s="31">
        <f>U4/45*4.85</f>
        <v>5.3888888888888884</v>
      </c>
      <c r="AF4" s="44">
        <f>0.8%*(X4+AD4+AE4)</f>
        <v>9.1599111111111107</v>
      </c>
      <c r="AG4" s="20">
        <f t="shared" ref="AG4" si="5">X4+AD4+AF4+AE4</f>
        <v>1154.1487999999999</v>
      </c>
      <c r="AH4" s="21">
        <f t="shared" ref="AH4" si="6">AG4/U4</f>
        <v>23.082975999999999</v>
      </c>
      <c r="AI4" s="32">
        <f t="shared" ref="AI4" si="7">AH4*18%</f>
        <v>4.1549356799999995</v>
      </c>
      <c r="AJ4" s="22">
        <f t="shared" ref="AJ4" si="8">AH4+AI4</f>
        <v>27.237911679999996</v>
      </c>
    </row>
  </sheetData>
  <mergeCells count="3">
    <mergeCell ref="B2:J2"/>
    <mergeCell ref="C4:D4"/>
    <mergeCell ref="M4:O4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MAYO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PC-Karina</dc:creator>
  <cp:keywords/>
  <dc:description/>
  <cp:lastModifiedBy>Yenyser Meza</cp:lastModifiedBy>
  <cp:revision/>
  <dcterms:created xsi:type="dcterms:W3CDTF">2018-08-23T18:38:12Z</dcterms:created>
  <dcterms:modified xsi:type="dcterms:W3CDTF">2026-06-02T16:28:53Z</dcterms:modified>
  <cp:category/>
  <cp:contentStatus/>
</cp:coreProperties>
</file>