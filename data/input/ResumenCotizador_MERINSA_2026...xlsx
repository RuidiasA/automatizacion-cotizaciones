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MERINSA/BD Cotizaciones/"/>
    </mc:Choice>
  </mc:AlternateContent>
  <xr:revisionPtr revIDLastSave="5" documentId="8_{C4A44126-6397-44C9-9B30-4D0530F675B0}" xr6:coauthVersionLast="47" xr6:coauthVersionMax="47" xr10:uidLastSave="{3F832D6D-C7F7-4DA5-8B22-A017CDF80F22}"/>
  <bookViews>
    <workbookView xWindow="-120" yWindow="-120" windowWidth="29040" windowHeight="15720" activeTab="1" xr2:uid="{0E5DF978-FF6B-4CDB-BAB5-E8B825F11611}"/>
  </bookViews>
  <sheets>
    <sheet name="MARZO" sheetId="1" r:id="rId1"/>
    <sheet name="MAYO" sheetId="2" r:id="rId2"/>
  </sheets>
  <externalReferences>
    <externalReference r:id="rId3"/>
    <externalReference r:id="rId4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AE8" i="2"/>
  <c r="W8" i="2"/>
  <c r="V8" i="2"/>
  <c r="S8" i="2"/>
  <c r="T8" i="2" s="1"/>
  <c r="AE7" i="2"/>
  <c r="W7" i="2"/>
  <c r="V7" i="2"/>
  <c r="S7" i="2"/>
  <c r="U7" i="2" s="1"/>
  <c r="U8" i="2" l="1"/>
  <c r="Y8" i="2" s="1"/>
  <c r="AG8" i="2" s="1"/>
  <c r="AH8" i="2" s="1"/>
  <c r="AI8" i="2" s="1"/>
  <c r="Y7" i="2"/>
  <c r="AG7" i="2" s="1"/>
  <c r="AH7" i="2" s="1"/>
  <c r="AI7" i="2" s="1"/>
  <c r="T7" i="2"/>
  <c r="Q5" i="2"/>
  <c r="S5" i="2" s="1"/>
  <c r="S4" i="2"/>
  <c r="T4" i="2" s="1"/>
  <c r="AE6" i="2"/>
  <c r="W6" i="2"/>
  <c r="V6" i="2"/>
  <c r="S6" i="2"/>
  <c r="AE5" i="2"/>
  <c r="V5" i="2"/>
  <c r="AE4" i="2"/>
  <c r="V4" i="2"/>
  <c r="W5" i="1"/>
  <c r="W6" i="1"/>
  <c r="W7" i="1"/>
  <c r="Q7" i="1"/>
  <c r="Q6" i="1"/>
  <c r="AE7" i="1"/>
  <c r="V7" i="1"/>
  <c r="S7" i="1"/>
  <c r="U7" i="1" s="1"/>
  <c r="AE6" i="1"/>
  <c r="V6" i="1"/>
  <c r="W4" i="1"/>
  <c r="AE5" i="1"/>
  <c r="V5" i="1"/>
  <c r="AE4" i="1"/>
  <c r="V4" i="1"/>
  <c r="AJ8" i="2" l="1"/>
  <c r="AK8" i="2" s="1"/>
  <c r="J8" i="2"/>
  <c r="L8" i="2" s="1"/>
  <c r="W4" i="2"/>
  <c r="J7" i="2"/>
  <c r="L7" i="2" s="1"/>
  <c r="AJ7" i="2"/>
  <c r="AK7" i="2" s="1"/>
  <c r="T6" i="2"/>
  <c r="U6" i="2"/>
  <c r="Y6" i="2" s="1"/>
  <c r="W5" i="2"/>
  <c r="U5" i="2"/>
  <c r="T5" i="2"/>
  <c r="U4" i="2"/>
  <c r="Y4" i="2" s="1"/>
  <c r="S6" i="1"/>
  <c r="U6" i="1" s="1"/>
  <c r="Y7" i="1"/>
  <c r="Y6" i="1"/>
  <c r="T6" i="1"/>
  <c r="T7" i="1"/>
  <c r="S5" i="1"/>
  <c r="T5" i="1" s="1"/>
  <c r="S4" i="1"/>
  <c r="T4" i="1" s="1"/>
  <c r="AG6" i="2" l="1"/>
  <c r="AH6" i="2" s="1"/>
  <c r="AI6" i="2" s="1"/>
  <c r="Y5" i="2"/>
  <c r="AG5" i="2" s="1"/>
  <c r="AH5" i="2" s="1"/>
  <c r="AI5" i="2" s="1"/>
  <c r="AG4" i="2"/>
  <c r="AH4" i="2" s="1"/>
  <c r="AI4" i="2" s="1"/>
  <c r="AG7" i="1"/>
  <c r="AH7" i="1" s="1"/>
  <c r="AI7" i="1" s="1"/>
  <c r="AG6" i="1"/>
  <c r="AH6" i="1" s="1"/>
  <c r="AI6" i="1" s="1"/>
  <c r="U5" i="1"/>
  <c r="Y5" i="1" s="1"/>
  <c r="AG5" i="1" s="1"/>
  <c r="AH5" i="1" s="1"/>
  <c r="AI5" i="1" s="1"/>
  <c r="J5" i="1" s="1"/>
  <c r="L5" i="1" s="1"/>
  <c r="U4" i="1"/>
  <c r="Y4" i="1" s="1"/>
  <c r="J5" i="2" l="1"/>
  <c r="L5" i="2" s="1"/>
  <c r="J4" i="2"/>
  <c r="L4" i="2" s="1"/>
  <c r="J6" i="2"/>
  <c r="L6" i="2" s="1"/>
  <c r="AJ6" i="2"/>
  <c r="AK6" i="2" s="1"/>
  <c r="AJ5" i="2"/>
  <c r="AK5" i="2" s="1"/>
  <c r="AJ4" i="2"/>
  <c r="AK4" i="2" s="1"/>
  <c r="AJ7" i="1"/>
  <c r="AK7" i="1" s="1"/>
  <c r="J7" i="1"/>
  <c r="L7" i="1" s="1"/>
  <c r="AJ6" i="1"/>
  <c r="AK6" i="1" s="1"/>
  <c r="J6" i="1"/>
  <c r="L6" i="1" s="1"/>
  <c r="AJ5" i="1"/>
  <c r="AK5" i="1" s="1"/>
  <c r="AG4" i="1"/>
  <c r="AH4" i="1" s="1"/>
  <c r="AI4" i="1" s="1"/>
  <c r="J4" i="1" s="1"/>
  <c r="L4" i="1" s="1"/>
  <c r="AJ4" i="1" l="1"/>
  <c r="AK4" i="1" s="1"/>
</calcChain>
</file>

<file path=xl/sharedStrings.xml><?xml version="1.0" encoding="utf-8"?>
<sst xmlns="http://schemas.openxmlformats.org/spreadsheetml/2006/main" count="144" uniqueCount="74">
  <si>
    <t>Nº</t>
  </si>
  <si>
    <t>Cód. Artíc.</t>
  </si>
  <si>
    <t>Artículo</t>
  </si>
  <si>
    <t>Foto</t>
  </si>
  <si>
    <t xml:space="preserve">Cant. </t>
  </si>
  <si>
    <t>Tiempo Entrega</t>
  </si>
  <si>
    <t>Detalles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</si>
  <si>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</si>
  <si>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</si>
  <si>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</si>
  <si>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</si>
  <si>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</si>
  <si>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</si>
  <si>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</si>
  <si>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</si>
  <si>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</si>
  <si>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</si>
  <si>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</si>
  <si>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</si>
  <si>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</si>
  <si>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</si>
  <si>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</si>
  <si>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</si>
  <si>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</si>
  <si>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</si>
  <si>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</si>
  <si>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</si>
  <si>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</si>
  <si>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</si>
  <si>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</si>
  <si>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</si>
  <si>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Imagen Referencial</t>
  </si>
  <si>
    <t>YA INCLUYE</t>
  </si>
  <si>
    <t>5 a 7 Días útiles</t>
  </si>
  <si>
    <t>LAPICERO ECOLOGICO</t>
  </si>
  <si>
    <t>COCH-925N</t>
  </si>
  <si>
    <t>Costo TOTAL 
(S/.) NO IGV</t>
  </si>
  <si>
    <t>Costo Unit. (S/.) NO IGV</t>
  </si>
  <si>
    <r>
      <rPr>
        <b/>
        <u/>
        <sz val="16"/>
        <color rgb="FF000000"/>
        <rFont val="Arial"/>
        <family val="2"/>
      </rPr>
      <t xml:space="preserve">LAPICERO ECOLOGICO
</t>
    </r>
    <r>
      <rPr>
        <sz val="16"/>
        <color rgb="FF000000"/>
        <rFont val="Arial"/>
        <family val="2"/>
      </rPr>
      <t xml:space="preserve">Lapiceros ecológicos cuerpo de cartón, clip de color
Color de tinta: Azul 
Color de clip: Negro, blanco, turquesa, naranjna, verde claro y amarillo
Presentación: Caja Grupal
</t>
    </r>
    <r>
      <rPr>
        <b/>
        <sz val="16"/>
        <color rgb="FFFF0000"/>
        <rFont val="Arial"/>
        <family val="2"/>
      </rPr>
      <t>*Incluye logo a 1 color a 1 lado, en serigrafia.
*Diseño o arte facilitado por el cliente</t>
    </r>
  </si>
  <si>
    <r>
      <rPr>
        <b/>
        <u/>
        <sz val="16"/>
        <color rgb="FF000000"/>
        <rFont val="Arial"/>
        <family val="2"/>
      </rPr>
      <t xml:space="preserve">LAPICERO ECOLOGICO
</t>
    </r>
    <r>
      <rPr>
        <sz val="16"/>
        <color rgb="FF000000"/>
        <rFont val="Arial"/>
        <family val="2"/>
      </rPr>
      <t xml:space="preserve">Lapiceros ecológicos cuerpo de cartón, clip de color
Color de tinta: Azul 
Color de clip: Negro, blanco, turquesa, naranjna, verde claro y amarillo
Presentación: Caja Grupal
</t>
    </r>
    <r>
      <rPr>
        <b/>
        <sz val="16"/>
        <color rgb="FFFF0000"/>
        <rFont val="Arial"/>
        <family val="2"/>
      </rPr>
      <t>*Incluye logo a Full color a 1 lado, en UV.
*Diseño o arte facilitado por el cliente</t>
    </r>
  </si>
  <si>
    <t>CHIPPER</t>
  </si>
  <si>
    <t>COCH-088C</t>
  </si>
  <si>
    <t>LAPICERO PLASTICO</t>
  </si>
  <si>
    <r>
      <rPr>
        <b/>
        <u/>
        <sz val="16"/>
        <color rgb="FF000000"/>
        <rFont val="Arial"/>
        <family val="2"/>
      </rPr>
      <t xml:space="preserve">LAPICERO PLASTICO
</t>
    </r>
    <r>
      <rPr>
        <sz val="16"/>
        <color rgb="FF000000"/>
        <rFont val="Arial"/>
        <family val="2"/>
      </rPr>
      <t xml:space="preserve">Lapiceros cuerpo de plastico, clip de color
Color de tinta: Azul 
Color de clip: Negro, turquesa, naranja, verde claro y amarillo
Presentación: Caja Grupal
</t>
    </r>
    <r>
      <rPr>
        <b/>
        <sz val="16"/>
        <color rgb="FFFF0000"/>
        <rFont val="Arial"/>
        <family val="2"/>
      </rPr>
      <t>*Incluye logo a 1 color a 1 lado, en serigrafia.
*Diseño o arte facilitado por el cliente</t>
    </r>
  </si>
  <si>
    <t>CHIPPER
LAGUNA VERDE</t>
  </si>
  <si>
    <t>S/ 0.30 INCL IGV
S/ 0.30 + IGV</t>
  </si>
  <si>
    <t>COTIZACIÓN PROPUESTA_MERINSA_16.03.26</t>
  </si>
  <si>
    <t>COTIZACIÓN PROPUESTA_MERINSA_20.05.26</t>
  </si>
  <si>
    <t>COCH-892</t>
  </si>
  <si>
    <t xml:space="preserve">CHIPPER
</t>
  </si>
  <si>
    <t xml:space="preserve">S/ 0.45 INCL IGV
</t>
  </si>
  <si>
    <r>
      <rPr>
        <b/>
        <u/>
        <sz val="16"/>
        <color rgb="FF000000"/>
        <rFont val="Arial"/>
        <family val="2"/>
      </rPr>
      <t xml:space="preserve">LAPICERO ECOLOGICO
</t>
    </r>
    <r>
      <rPr>
        <sz val="16"/>
        <color rgb="FF000000"/>
        <rFont val="Arial"/>
        <family val="2"/>
      </rPr>
      <t xml:space="preserve">Lapiceros ecológicos gruesos
Color de tinta: Azul 
Color : Azul
Presentación: Caja Grupal
</t>
    </r>
    <r>
      <rPr>
        <b/>
        <sz val="16"/>
        <color rgb="FFFF0000"/>
        <rFont val="Arial"/>
        <family val="2"/>
      </rPr>
      <t>*Incluye 1 logo a full color por 1 lado
*Diseño o arte facilitado por el cliente</t>
    </r>
  </si>
  <si>
    <t>COCH-2126N</t>
  </si>
  <si>
    <t xml:space="preserve">S/ 0.42 INCL IGV
</t>
  </si>
  <si>
    <t>2126N</t>
  </si>
  <si>
    <t>892</t>
  </si>
  <si>
    <r>
      <rPr>
        <b/>
        <u/>
        <sz val="16"/>
        <color rgb="FF000000"/>
        <rFont val="Arial"/>
        <family val="2"/>
      </rPr>
      <t xml:space="preserve">LAPICERO PLASTICO
</t>
    </r>
    <r>
      <rPr>
        <sz val="16"/>
        <color rgb="FF000000"/>
        <rFont val="Arial"/>
        <family val="2"/>
      </rPr>
      <t xml:space="preserve">Lapiceros cuerpo de plastico
Color de tinta: Azul 
Color: Azul
Presentación: Caja Grupal
</t>
    </r>
    <r>
      <rPr>
        <b/>
        <sz val="16"/>
        <color rgb="FFFF0000"/>
        <rFont val="Arial"/>
        <family val="2"/>
      </rPr>
      <t>*Incluye 1 logo a full color por 1 lado
*Diseño o arte facilitado por el cliente</t>
    </r>
  </si>
  <si>
    <t>COCH-138B</t>
  </si>
  <si>
    <t>CHIPPER
/
EYF</t>
  </si>
  <si>
    <t>138B
/
5094</t>
  </si>
  <si>
    <t>LAPICERO DE FIBRA DE TRIGO</t>
  </si>
  <si>
    <t>GP-5175H</t>
  </si>
  <si>
    <t>EYF</t>
  </si>
  <si>
    <t>S/.0.53 + IGV</t>
  </si>
  <si>
    <t>COEF-GP-5175H</t>
  </si>
  <si>
    <r>
      <t xml:space="preserve">CHIPPER
S/.0.46 incluido IGV
</t>
    </r>
    <r>
      <rPr>
        <b/>
        <sz val="16"/>
        <color rgb="FFFF0000"/>
        <rFont val="Arial"/>
        <family val="2"/>
      </rPr>
      <t>No hay azul</t>
    </r>
    <r>
      <rPr>
        <sz val="16"/>
        <rFont val="Arial"/>
        <family val="2"/>
      </rPr>
      <t xml:space="preserve">
/
EYF
S/.0.45 + IGV</t>
    </r>
  </si>
  <si>
    <r>
      <rPr>
        <b/>
        <u/>
        <sz val="16"/>
        <color rgb="FF000000"/>
        <rFont val="Arial"/>
        <family val="2"/>
      </rPr>
      <t>LAPICERO PLÁSTICO</t>
    </r>
    <r>
      <rPr>
        <b/>
        <sz val="16"/>
        <color rgb="FF000000"/>
        <rFont val="Arial"/>
        <family val="2"/>
      </rPr>
      <t xml:space="preserve">
</t>
    </r>
    <r>
      <rPr>
        <sz val="16"/>
        <color rgb="FF000000"/>
        <rFont val="Arial"/>
        <family val="2"/>
      </rPr>
      <t xml:space="preserve">Material: Plastico
Modelo: Retractil, clip plastico y goma antideslizante.
Color de tinta azul
Color: Azul
Presentacion: Caja grupal, no bolsita individual
</t>
    </r>
    <r>
      <rPr>
        <b/>
        <sz val="16"/>
        <color rgb="FFFF0000"/>
        <rFont val="Arial"/>
        <family val="2"/>
      </rPr>
      <t>*Incluye 1 logo a full color por 1 lado
*Diseño o arte facilitado por el cliente</t>
    </r>
  </si>
  <si>
    <t>COEF-5144-1</t>
  </si>
  <si>
    <t>LAPICERO DE PLASTICO</t>
  </si>
  <si>
    <t>S/.0.50 + IGV</t>
  </si>
  <si>
    <t>5144-1</t>
  </si>
  <si>
    <r>
      <rPr>
        <b/>
        <u/>
        <sz val="16"/>
        <color rgb="FF000000"/>
        <rFont val="Arial"/>
        <family val="2"/>
      </rPr>
      <t>LAPICERO PLÁSTICO</t>
    </r>
    <r>
      <rPr>
        <b/>
        <sz val="16"/>
        <color rgb="FF000000"/>
        <rFont val="Arial"/>
        <family val="2"/>
      </rPr>
      <t xml:space="preserve">
</t>
    </r>
    <r>
      <rPr>
        <sz val="16"/>
        <color rgb="FF000000"/>
        <rFont val="Arial"/>
        <family val="2"/>
      </rPr>
      <t xml:space="preserve">Material: Fibra de trigo
Descripción: Lápicero plástico retráctil traslúcido, con goma antidezlizante en la base
Medida: 12,75 cm x 1,6 cm
Color de tinta azul
Color: Azul
Presentacion: Caja grupal, no bolsita individual
</t>
    </r>
    <r>
      <rPr>
        <b/>
        <sz val="16"/>
        <color rgb="FFFF0000"/>
        <rFont val="Arial"/>
        <family val="2"/>
      </rPr>
      <t>*Incluye 1 logo a full color por 1 lado
*Diseño o arte facilitado por el cliente</t>
    </r>
  </si>
  <si>
    <r>
      <rPr>
        <b/>
        <u/>
        <sz val="16"/>
        <color rgb="FF000000"/>
        <rFont val="Arial"/>
        <family val="2"/>
      </rPr>
      <t>LAPICERO DE FIBRA DE TRIGO</t>
    </r>
    <r>
      <rPr>
        <b/>
        <sz val="16"/>
        <color rgb="FF000000"/>
        <rFont val="Arial"/>
        <family val="2"/>
      </rPr>
      <t xml:space="preserve">
</t>
    </r>
    <r>
      <rPr>
        <sz val="16"/>
        <color rgb="FF000000"/>
        <rFont val="Arial"/>
        <family val="2"/>
      </rPr>
      <t xml:space="preserve">Material: Fibra de trigo
Descripción: Lápicero plástico retráctil, punta y clip color plateado brillante
Medida: 14 cm x 1,5 cm
Color de tinta azul
Color: Azul
Presentacion: Caja grupal, no bolsita individual
</t>
    </r>
    <r>
      <rPr>
        <b/>
        <sz val="16"/>
        <color rgb="FFFF0000"/>
        <rFont val="Arial"/>
        <family val="2"/>
      </rPr>
      <t>*Incluye 1 logo a full color por 1 lado
*Diseño o arte facilitado por el cliente</t>
    </r>
  </si>
  <si>
    <t>UV EDGAR 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</si>
</sst>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S/&quot;\ #,##0.00"/>
    <numFmt numFmtId="165" formatCode="&quot;S/.&quot;\ #,##0.00"/>
    <numFmt numFmtId="166" formatCode="[$S/.-280A]\ #,##0.00"/>
    <numFmt numFmtId="167" formatCode="_-[$$-409]* #,##0.00_ ;_-[$$-409]* \-#,##0.00\ ;_-[$$-409]* &quot;-&quot;??_ ;_-@_ "/>
    <numFmt numFmtId="168" formatCode="_(* #,##0_);_(* \(#,##0\);_(* &quot;-&quot;??_);_(@_)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8"/>
      <color theme="1"/>
      <name val="Arial"/>
      <family val="2"/>
    </font>
    <font>
      <sz val="16"/>
      <color theme="1"/>
      <name val="Aptos Narrow"/>
      <family val="2"/>
      <scheme val="minor"/>
    </font>
    <font>
      <b/>
      <sz val="16"/>
      <color theme="1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b/>
      <sz val="11"/>
      <color rgb="FFFF0000"/>
      <name val="Aptos Narrow"/>
      <family val="2"/>
      <scheme val="minor"/>
    </font>
    <font>
      <b/>
      <sz val="18"/>
      <name val="Arial"/>
      <family val="2"/>
    </font>
    <font>
      <b/>
      <sz val="16"/>
      <color rgb="FF000000"/>
      <name val="Arial"/>
      <family val="2"/>
    </font>
    <font>
      <b/>
      <u/>
      <sz val="16"/>
      <color rgb="FF000000"/>
      <name val="Arial"/>
      <family val="2"/>
    </font>
    <font>
      <sz val="16"/>
      <color rgb="FF000000"/>
      <name val="Arial"/>
      <family val="2"/>
    </font>
    <font>
      <b/>
      <sz val="16"/>
      <color rgb="FFFF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sz val="16"/>
      <color rgb="FFFF0000"/>
      <name val="Arial"/>
      <family val="2"/>
    </font>
    <font>
      <b/>
      <sz val="16"/>
      <color rgb="FFFFFFFF"/>
      <name val="Arial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33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7" fontId="23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2"/>
    <xf numFmtId="0" fontId="2" fillId="0" borderId="0" xfId="2" applyAlignment="1">
      <alignment horizontal="center"/>
    </xf>
    <xf numFmtId="0" fontId="5" fillId="3" borderId="1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6" fillId="4" borderId="2" xfId="2" applyFont="1" applyFill="1" applyBorder="1" applyAlignment="1">
      <alignment horizontal="center" vertical="center" wrapText="1"/>
    </xf>
    <xf numFmtId="0" fontId="6" fillId="4" borderId="0" xfId="2" applyFont="1" applyFill="1" applyAlignment="1">
      <alignment horizontal="center" vertical="center" wrapText="1"/>
    </xf>
    <xf numFmtId="164" fontId="6" fillId="4" borderId="3" xfId="2" applyNumberFormat="1" applyFont="1" applyFill="1" applyBorder="1" applyAlignment="1">
      <alignment horizontal="center" vertical="center" wrapText="1"/>
    </xf>
    <xf numFmtId="0" fontId="7" fillId="5" borderId="2" xfId="2" applyFont="1" applyFill="1" applyBorder="1" applyAlignment="1">
      <alignment horizontal="center" vertical="center" wrapText="1"/>
    </xf>
    <xf numFmtId="0" fontId="7" fillId="5" borderId="0" xfId="2" applyFont="1" applyFill="1" applyAlignment="1">
      <alignment horizontal="center" vertical="center" wrapText="1"/>
    </xf>
    <xf numFmtId="0" fontId="8" fillId="5" borderId="0" xfId="2" applyFont="1" applyFill="1" applyAlignment="1">
      <alignment horizontal="center" vertical="center" wrapText="1"/>
    </xf>
    <xf numFmtId="0" fontId="7" fillId="5" borderId="3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7" fillId="6" borderId="2" xfId="2" applyFont="1" applyFill="1" applyBorder="1" applyAlignment="1">
      <alignment horizontal="center" vertical="center" wrapText="1"/>
    </xf>
    <xf numFmtId="0" fontId="7" fillId="6" borderId="0" xfId="2" applyFont="1" applyFill="1" applyAlignment="1">
      <alignment horizontal="center" vertical="center" wrapText="1"/>
    </xf>
    <xf numFmtId="0" fontId="7" fillId="6" borderId="3" xfId="2" applyFont="1" applyFill="1" applyBorder="1" applyAlignment="1">
      <alignment horizontal="center" vertical="center" wrapText="1"/>
    </xf>
    <xf numFmtId="0" fontId="6" fillId="7" borderId="2" xfId="2" applyFont="1" applyFill="1" applyBorder="1" applyAlignment="1">
      <alignment horizontal="center" vertical="center" wrapText="1"/>
    </xf>
    <xf numFmtId="0" fontId="6" fillId="7" borderId="0" xfId="2" applyFont="1" applyFill="1" applyAlignment="1">
      <alignment horizontal="center" vertical="center" wrapText="1"/>
    </xf>
    <xf numFmtId="9" fontId="6" fillId="7" borderId="3" xfId="2" applyNumberFormat="1" applyFont="1" applyFill="1" applyBorder="1" applyAlignment="1">
      <alignment horizontal="center" vertical="center"/>
    </xf>
    <xf numFmtId="0" fontId="2" fillId="0" borderId="0" xfId="0" applyFont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9" fontId="4" fillId="0" borderId="0" xfId="1" applyFont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166" fontId="14" fillId="8" borderId="1" xfId="0" applyNumberFormat="1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166" fontId="16" fillId="10" borderId="6" xfId="0" applyNumberFormat="1" applyFont="1" applyFill="1" applyBorder="1" applyAlignment="1">
      <alignment horizontal="center" vertical="center"/>
    </xf>
    <xf numFmtId="165" fontId="18" fillId="10" borderId="6" xfId="0" applyNumberFormat="1" applyFont="1" applyFill="1" applyBorder="1" applyAlignment="1">
      <alignment horizontal="center" vertical="center"/>
    </xf>
    <xf numFmtId="165" fontId="19" fillId="10" borderId="6" xfId="0" applyNumberFormat="1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165" fontId="16" fillId="10" borderId="6" xfId="0" applyNumberFormat="1" applyFont="1" applyFill="1" applyBorder="1" applyAlignment="1">
      <alignment horizontal="center" vertical="center"/>
    </xf>
    <xf numFmtId="165" fontId="16" fillId="0" borderId="6" xfId="0" applyNumberFormat="1" applyFont="1" applyBorder="1" applyAlignment="1">
      <alignment horizontal="center" vertical="center"/>
    </xf>
    <xf numFmtId="165" fontId="15" fillId="0" borderId="6" xfId="0" applyNumberFormat="1" applyFont="1" applyBorder="1" applyAlignment="1">
      <alignment horizontal="center" vertical="center"/>
    </xf>
    <xf numFmtId="165" fontId="16" fillId="0" borderId="6" xfId="0" applyNumberFormat="1" applyFont="1" applyBorder="1" applyAlignment="1">
      <alignment horizontal="center" vertical="center" wrapText="1"/>
    </xf>
    <xf numFmtId="165" fontId="16" fillId="11" borderId="6" xfId="0" applyNumberFormat="1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165" fontId="20" fillId="0" borderId="6" xfId="0" applyNumberFormat="1" applyFont="1" applyBorder="1" applyAlignment="1">
      <alignment horizontal="center" vertical="center"/>
    </xf>
    <xf numFmtId="165" fontId="16" fillId="9" borderId="6" xfId="0" applyNumberFormat="1" applyFont="1" applyFill="1" applyBorder="1" applyAlignment="1">
      <alignment horizontal="center" vertical="center"/>
    </xf>
    <xf numFmtId="165" fontId="20" fillId="12" borderId="1" xfId="2" applyNumberFormat="1" applyFont="1" applyFill="1" applyBorder="1" applyAlignment="1">
      <alignment horizontal="center" vertical="center"/>
    </xf>
    <xf numFmtId="165" fontId="21" fillId="13" borderId="6" xfId="0" applyNumberFormat="1" applyFont="1" applyFill="1" applyBorder="1" applyAlignment="1">
      <alignment horizontal="center" vertical="center"/>
    </xf>
    <xf numFmtId="166" fontId="14" fillId="8" borderId="6" xfId="0" applyNumberFormat="1" applyFont="1" applyFill="1" applyBorder="1" applyAlignment="1">
      <alignment horizontal="center" vertical="center"/>
    </xf>
    <xf numFmtId="166" fontId="15" fillId="8" borderId="6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8" fontId="17" fillId="0" borderId="1" xfId="3" applyNumberFormat="1" applyFont="1" applyFill="1" applyBorder="1" applyAlignment="1">
      <alignment horizontal="center" vertical="center" wrapText="1"/>
    </xf>
    <xf numFmtId="49" fontId="16" fillId="14" borderId="1" xfId="2" applyNumberFormat="1" applyFont="1" applyFill="1" applyBorder="1" applyAlignment="1">
      <alignment horizontal="center" vertical="center" wrapText="1"/>
    </xf>
    <xf numFmtId="49" fontId="16" fillId="8" borderId="1" xfId="0" applyNumberFormat="1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49" fontId="16" fillId="14" borderId="1" xfId="2" applyNumberFormat="1" applyFont="1" applyFill="1" applyBorder="1" applyAlignment="1">
      <alignment horizontal="center" vertical="center" wrapText="1"/>
    </xf>
  </cellXfs>
  <cellStyles count="4">
    <cellStyle name="Millares 2 2 3 4 2 2 2 2 2" xfId="3" xr:uid="{551F830B-194D-4CBE-BB85-7F0BFF5028AB}"/>
    <cellStyle name="Normal" xfId="0" builtinId="0"/>
    <cellStyle name="Normal 2 2" xfId="2" xr:uid="{D71A2192-1E03-4CAD-9B9C-6476AB37282C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jp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88901</xdr:colOff>
      <xdr:row>3</xdr:row>
      <xdr:rowOff>279400</xdr:rowOff>
    </xdr:from>
    <xdr:to>
      <xdr:col>4</xdr:col>
      <xdr:colOff>2079625</xdr:colOff>
      <xdr:row>3</xdr:row>
      <xdr:rowOff>1349375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B2BD995-F07D-4DBD-AD3E-E07DF0F28AFE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1918" b="15068"/>
        <a:stretch/>
      </xdr:blipFill>
      <xdr:spPr>
        <a:xfrm>
          <a:off x="3248026" y="1565275"/>
          <a:ext cx="1990724" cy="1069975"/>
        </a:xfrm>
        <a:prstGeom prst="rect">
          <a:avLst/>
        </a:prstGeom>
      </xdr:spPr>
    </xdr:pic>
    <xdr:clientData/>
  </xdr:twoCellAnchor>
  <xdr:twoCellAnchor>
    <xdr:from>
      <xdr:col>4</xdr:col>
      <xdr:colOff>285750</xdr:colOff>
      <xdr:row>6</xdr:row>
      <xdr:rowOff>603250</xdr:rowOff>
    </xdr:from>
    <xdr:to>
      <xdr:col>4</xdr:col>
      <xdr:colOff>2905125</xdr:colOff>
      <xdr:row>6</xdr:row>
      <xdr:rowOff>2063750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7A57F528-7FEB-4E72-BDFC-3AB7BBF91686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1918" b="15068"/>
        <a:stretch/>
      </xdr:blipFill>
      <xdr:spPr>
        <a:xfrm>
          <a:off x="3444875" y="4492625"/>
          <a:ext cx="2619375" cy="1460500"/>
        </a:xfrm>
        <a:prstGeom prst="rect">
          <a:avLst/>
        </a:prstGeom>
      </xdr:spPr>
    </xdr:pic>
    <xdr:clientData/>
  </xdr:twoCellAnchor>
  <xdr:twoCellAnchor>
    <xdr:from>
      <xdr:col>4</xdr:col>
      <xdr:colOff>1968500</xdr:colOff>
      <xdr:row>3</xdr:row>
      <xdr:rowOff>666750</xdr:rowOff>
    </xdr:from>
    <xdr:to>
      <xdr:col>4</xdr:col>
      <xdr:colOff>2968625</xdr:colOff>
      <xdr:row>3</xdr:row>
      <xdr:rowOff>1952625</xdr:rowOff>
    </xdr:to>
    <xdr:pic>
      <xdr:nvPicPr>
        <xdr:cNvPr id="9" name="Picture 6">
          <a:extLst>
            <a:ext uri="{FF2B5EF4-FFF2-40B4-BE49-F238E27FC236}">
              <a16:creationId xmlns:a16="http://schemas.microsoft.com/office/drawing/2014/main" id="{5CB0D804-4732-41E9-8B5E-10E8E80BB4F0}"/>
            </a:ext>
          </a:extLst>
        </xdr:cNvPr>
        <xdr:cNvPicPr/>
      </xdr:nvPicPr>
      <xdr:blipFill rotWithShape="1">
        <a:blip xmlns:r="http://schemas.openxmlformats.org/officeDocument/2006/relationships" r:embed="rId2" cstate="print"/>
        <a:srcRect l="13039" r="23774"/>
        <a:stretch/>
      </xdr:blipFill>
      <xdr:spPr>
        <a:xfrm>
          <a:off x="5127625" y="1952625"/>
          <a:ext cx="1000125" cy="1285875"/>
        </a:xfrm>
        <a:prstGeom prst="rect">
          <a:avLst/>
        </a:prstGeom>
      </xdr:spPr>
    </xdr:pic>
    <xdr:clientData/>
  </xdr:twoCellAnchor>
  <xdr:twoCellAnchor>
    <xdr:from>
      <xdr:col>4</xdr:col>
      <xdr:colOff>98426</xdr:colOff>
      <xdr:row>4</xdr:row>
      <xdr:rowOff>400050</xdr:rowOff>
    </xdr:from>
    <xdr:to>
      <xdr:col>4</xdr:col>
      <xdr:colOff>2089150</xdr:colOff>
      <xdr:row>4</xdr:row>
      <xdr:rowOff>1470025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854ECC63-ACB0-48D2-96F9-FEF87B7745CC}"/>
            </a:ext>
          </a:extLst>
        </xdr:cNvPr>
        <xdr:cNvPicPr/>
      </xdr:nvPicPr>
      <xdr:blipFill rotWithShape="1">
        <a:blip xmlns:r="http://schemas.openxmlformats.org/officeDocument/2006/relationships" r:embed="rId1" cstate="print"/>
        <a:srcRect t="21918" b="15068"/>
        <a:stretch/>
      </xdr:blipFill>
      <xdr:spPr>
        <a:xfrm>
          <a:off x="3257551" y="4289425"/>
          <a:ext cx="1990724" cy="1069975"/>
        </a:xfrm>
        <a:prstGeom prst="rect">
          <a:avLst/>
        </a:prstGeom>
      </xdr:spPr>
    </xdr:pic>
    <xdr:clientData/>
  </xdr:twoCellAnchor>
  <xdr:twoCellAnchor>
    <xdr:from>
      <xdr:col>4</xdr:col>
      <xdr:colOff>1978025</xdr:colOff>
      <xdr:row>4</xdr:row>
      <xdr:rowOff>787400</xdr:rowOff>
    </xdr:from>
    <xdr:to>
      <xdr:col>4</xdr:col>
      <xdr:colOff>2978150</xdr:colOff>
      <xdr:row>4</xdr:row>
      <xdr:rowOff>2073275</xdr:rowOff>
    </xdr:to>
    <xdr:pic>
      <xdr:nvPicPr>
        <xdr:cNvPr id="11" name="Picture 6">
          <a:extLst>
            <a:ext uri="{FF2B5EF4-FFF2-40B4-BE49-F238E27FC236}">
              <a16:creationId xmlns:a16="http://schemas.microsoft.com/office/drawing/2014/main" id="{CF9504C4-D7AF-452C-9BC0-B8C03D066732}"/>
            </a:ext>
          </a:extLst>
        </xdr:cNvPr>
        <xdr:cNvPicPr/>
      </xdr:nvPicPr>
      <xdr:blipFill rotWithShape="1">
        <a:blip xmlns:r="http://schemas.openxmlformats.org/officeDocument/2006/relationships" r:embed="rId2" cstate="print"/>
        <a:srcRect l="13039" r="23774"/>
        <a:stretch/>
      </xdr:blipFill>
      <xdr:spPr>
        <a:xfrm>
          <a:off x="5137150" y="4676775"/>
          <a:ext cx="1000125" cy="1285875"/>
        </a:xfrm>
        <a:prstGeom prst="rect">
          <a:avLst/>
        </a:prstGeom>
      </xdr:spPr>
    </xdr:pic>
    <xdr:clientData/>
  </xdr:twoCellAnchor>
  <xdr:twoCellAnchor>
    <xdr:from>
      <xdr:col>4</xdr:col>
      <xdr:colOff>460375</xdr:colOff>
      <xdr:row>5</xdr:row>
      <xdr:rowOff>238125</xdr:rowOff>
    </xdr:from>
    <xdr:to>
      <xdr:col>4</xdr:col>
      <xdr:colOff>2667000</xdr:colOff>
      <xdr:row>5</xdr:row>
      <xdr:rowOff>2301875</xdr:rowOff>
    </xdr:to>
    <xdr:pic>
      <xdr:nvPicPr>
        <xdr:cNvPr id="13" name="Picture 8">
          <a:extLst>
            <a:ext uri="{FF2B5EF4-FFF2-40B4-BE49-F238E27FC236}">
              <a16:creationId xmlns:a16="http://schemas.microsoft.com/office/drawing/2014/main" id="{7B7D3C6F-892C-46FF-859C-DA74E639D1BD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619500" y="6762750"/>
          <a:ext cx="2206625" cy="2063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313558</xdr:colOff>
      <xdr:row>4</xdr:row>
      <xdr:rowOff>364139</xdr:rowOff>
    </xdr:from>
    <xdr:to>
      <xdr:col>4</xdr:col>
      <xdr:colOff>2971800</xdr:colOff>
      <xdr:row>4</xdr:row>
      <xdr:rowOff>2390238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12BB106-9C1B-2237-003D-CD38F7438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4058" y="4250339"/>
          <a:ext cx="2658242" cy="2026099"/>
        </a:xfrm>
        <a:prstGeom prst="rect">
          <a:avLst/>
        </a:prstGeom>
      </xdr:spPr>
    </xdr:pic>
    <xdr:clientData/>
  </xdr:twoCellAnchor>
  <xdr:twoCellAnchor>
    <xdr:from>
      <xdr:col>4</xdr:col>
      <xdr:colOff>667846</xdr:colOff>
      <xdr:row>3</xdr:row>
      <xdr:rowOff>131379</xdr:rowOff>
    </xdr:from>
    <xdr:to>
      <xdr:col>4</xdr:col>
      <xdr:colOff>2627586</xdr:colOff>
      <xdr:row>3</xdr:row>
      <xdr:rowOff>2391121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51CE926A-F529-43ED-91D8-EF552BBB6B3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42846" y="1401379"/>
          <a:ext cx="1959740" cy="2259742"/>
        </a:xfrm>
        <a:prstGeom prst="rect">
          <a:avLst/>
        </a:prstGeom>
      </xdr:spPr>
    </xdr:pic>
    <xdr:clientData/>
  </xdr:twoCellAnchor>
  <xdr:twoCellAnchor>
    <xdr:from>
      <xdr:col>4</xdr:col>
      <xdr:colOff>407057</xdr:colOff>
      <xdr:row>5</xdr:row>
      <xdr:rowOff>394138</xdr:rowOff>
    </xdr:from>
    <xdr:to>
      <xdr:col>4</xdr:col>
      <xdr:colOff>2940707</xdr:colOff>
      <xdr:row>5</xdr:row>
      <xdr:rowOff>2222938</xdr:rowOff>
    </xdr:to>
    <xdr:pic>
      <xdr:nvPicPr>
        <xdr:cNvPr id="12" name="Picture 20">
          <a:extLst>
            <a:ext uri="{FF2B5EF4-FFF2-40B4-BE49-F238E27FC236}">
              <a16:creationId xmlns:a16="http://schemas.microsoft.com/office/drawing/2014/main" id="{538B5A64-45DF-44E3-B5DF-26720EE85889}"/>
            </a:ext>
          </a:extLst>
        </xdr:cNvPr>
        <xdr:cNvPicPr/>
      </xdr:nvPicPr>
      <xdr:blipFill rotWithShape="1">
        <a:blip xmlns:r="http://schemas.openxmlformats.org/officeDocument/2006/relationships" r:embed="rId3" cstate="print"/>
        <a:srcRect t="11126" b="10989"/>
        <a:stretch>
          <a:fillRect/>
        </a:stretch>
      </xdr:blipFill>
      <xdr:spPr>
        <a:xfrm>
          <a:off x="4407557" y="6909238"/>
          <a:ext cx="253365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383188</xdr:colOff>
      <xdr:row>6</xdr:row>
      <xdr:rowOff>470775</xdr:rowOff>
    </xdr:from>
    <xdr:to>
      <xdr:col>4</xdr:col>
      <xdr:colOff>2907149</xdr:colOff>
      <xdr:row>6</xdr:row>
      <xdr:rowOff>2686050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EF12B06-316F-6A02-4F6F-273D6DE01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83688" y="9614775"/>
          <a:ext cx="2523961" cy="2215275"/>
        </a:xfrm>
        <a:prstGeom prst="rect">
          <a:avLst/>
        </a:prstGeom>
      </xdr:spPr>
    </xdr:pic>
    <xdr:clientData/>
  </xdr:twoCellAnchor>
  <xdr:twoCellAnchor editAs="oneCell">
    <xdr:from>
      <xdr:col>4</xdr:col>
      <xdr:colOff>339397</xdr:colOff>
      <xdr:row>7</xdr:row>
      <xdr:rowOff>470777</xdr:rowOff>
    </xdr:from>
    <xdr:to>
      <xdr:col>4</xdr:col>
      <xdr:colOff>2802758</xdr:colOff>
      <xdr:row>7</xdr:row>
      <xdr:rowOff>2257144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407BE2B-C52A-3052-FA30-0FEA2DE5DD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23641"/>
        <a:stretch>
          <a:fillRect/>
        </a:stretch>
      </xdr:blipFill>
      <xdr:spPr>
        <a:xfrm>
          <a:off x="3744311" y="12229225"/>
          <a:ext cx="2463361" cy="17863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3677E-4E12-4641-B886-1DF456B0C1C0}">
  <dimension ref="A2:HI7"/>
  <sheetViews>
    <sheetView showGridLines="0" topLeftCell="A4" zoomScale="60" zoomScaleNormal="60" zoomScaleSheetLayoutView="50" workbookViewId="0">
      <selection activeCell="G5" sqref="G5"/>
    </sheetView>
  </sheetViews>
  <sheetFormatPr baseColWidth="10" defaultColWidth="11.42578125" defaultRowHeight="21" x14ac:dyDescent="0.35"/>
  <cols>
    <col min="1" max="1" width="3.5703125" customWidth="1"/>
    <col min="2" max="2" width="8.140625" customWidth="1"/>
    <col min="3" max="3" width="14.5703125" customWidth="1"/>
    <col min="4" max="4" width="21.140625" customWidth="1"/>
    <col min="5" max="5" width="48.5703125" customWidth="1"/>
    <col min="6" max="6" width="13.42578125" customWidth="1"/>
    <col min="7" max="7" width="23.140625" customWidth="1"/>
    <col min="8" max="8" width="18.5703125" customWidth="1"/>
    <col min="9" max="9" width="76.85546875" customWidth="1"/>
    <col min="10" max="10" width="26.7109375" customWidth="1"/>
    <col min="11" max="11" width="9.42578125" style="1" customWidth="1"/>
    <col min="12" max="12" width="9.42578125" customWidth="1"/>
    <col min="13" max="13" width="26.140625" customWidth="1"/>
    <col min="14" max="14" width="13.140625" customWidth="1"/>
    <col min="15" max="15" width="9.28515625" customWidth="1"/>
    <col min="16" max="16" width="15.85546875" customWidth="1"/>
    <col min="17" max="17" width="22.7109375" style="5" customWidth="1"/>
    <col min="18" max="18" width="11.42578125" style="5"/>
    <col min="19" max="19" width="22.140625" style="5" customWidth="1"/>
    <col min="20" max="20" width="27.7109375" style="5" customWidth="1"/>
    <col min="21" max="21" width="17.5703125" style="5" customWidth="1"/>
    <col min="22" max="22" width="18.28515625" style="5" customWidth="1"/>
    <col min="23" max="23" width="21.42578125" style="5" customWidth="1"/>
    <col min="24" max="24" width="20.42578125" style="5" customWidth="1"/>
    <col min="25" max="25" width="31.28515625" style="5" customWidth="1"/>
    <col min="26" max="26" width="21.85546875" style="5" customWidth="1"/>
    <col min="27" max="27" width="22.42578125" style="5" customWidth="1"/>
    <col min="28" max="30" width="11.42578125" style="5"/>
    <col min="31" max="31" width="20.7109375" style="5" customWidth="1"/>
    <col min="32" max="32" width="23.28515625" style="5" customWidth="1"/>
    <col min="33" max="33" width="22.28515625" style="5" customWidth="1"/>
    <col min="34" max="34" width="30.85546875" style="5" customWidth="1"/>
    <col min="35" max="35" width="29" style="5" customWidth="1"/>
    <col min="36" max="36" width="22.5703125" style="5" customWidth="1"/>
    <col min="37" max="37" width="32.140625" style="5" customWidth="1"/>
  </cols>
  <sheetData>
    <row r="2" spans="1:217" s="6" customFormat="1" ht="22.5" customHeight="1" x14ac:dyDescent="0.35">
      <c r="A2"/>
      <c r="B2" s="58" t="s">
        <v>46</v>
      </c>
      <c r="C2" s="58"/>
      <c r="D2" s="58"/>
      <c r="E2" s="58"/>
      <c r="F2" s="58"/>
      <c r="G2" s="58"/>
      <c r="H2" s="58"/>
      <c r="I2" s="58"/>
      <c r="J2" s="58"/>
      <c r="K2" s="1"/>
      <c r="L2" s="2"/>
      <c r="M2"/>
      <c r="N2" s="3"/>
      <c r="O2"/>
      <c r="P2" s="4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</row>
    <row r="3" spans="1:217" s="6" customFormat="1" ht="57" customHeight="1" x14ac:dyDescent="0.35">
      <c r="A3" s="7"/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37</v>
      </c>
      <c r="H3" s="8" t="s">
        <v>5</v>
      </c>
      <c r="I3" s="8" t="s">
        <v>6</v>
      </c>
      <c r="J3" s="8" t="s">
        <v>36</v>
      </c>
      <c r="K3" s="9"/>
      <c r="L3" s="2"/>
      <c r="M3" s="10" t="s">
        <v>7</v>
      </c>
      <c r="N3" s="11" t="s">
        <v>8</v>
      </c>
      <c r="O3" s="11" t="s">
        <v>9</v>
      </c>
      <c r="P3" s="12" t="s">
        <v>10</v>
      </c>
      <c r="Q3" s="13" t="s">
        <v>11</v>
      </c>
      <c r="R3" s="14" t="s">
        <v>12</v>
      </c>
      <c r="S3" s="14" t="s">
        <v>13</v>
      </c>
      <c r="T3" s="15" t="s">
        <v>14</v>
      </c>
      <c r="U3" s="14" t="s">
        <v>15</v>
      </c>
      <c r="V3" s="14" t="s">
        <v>16</v>
      </c>
      <c r="W3" s="16" t="s">
        <v>17</v>
      </c>
      <c r="X3" s="10" t="s">
        <v>18</v>
      </c>
      <c r="Y3" s="17" t="s">
        <v>19</v>
      </c>
      <c r="Z3" s="18" t="s">
        <v>20</v>
      </c>
      <c r="AA3" s="19" t="s">
        <v>21</v>
      </c>
      <c r="AB3" s="19" t="s">
        <v>22</v>
      </c>
      <c r="AC3" s="19" t="s">
        <v>23</v>
      </c>
      <c r="AD3" s="19" t="s">
        <v>24</v>
      </c>
      <c r="AE3" s="20" t="s">
        <v>25</v>
      </c>
      <c r="AF3" s="10" t="s">
        <v>26</v>
      </c>
      <c r="AG3" s="10" t="s">
        <v>27</v>
      </c>
      <c r="AH3" s="21" t="s">
        <v>15</v>
      </c>
      <c r="AI3" s="22" t="s">
        <v>28</v>
      </c>
      <c r="AJ3" s="22" t="s">
        <v>29</v>
      </c>
      <c r="AK3" s="23" t="s">
        <v>30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</row>
    <row r="4" spans="1:217" ht="205.5" customHeight="1" x14ac:dyDescent="0.25">
      <c r="A4" s="24"/>
      <c r="B4" s="25">
        <v>1</v>
      </c>
      <c r="C4" s="54" t="s">
        <v>35</v>
      </c>
      <c r="D4" s="54" t="s">
        <v>34</v>
      </c>
      <c r="E4" s="26" t="s">
        <v>31</v>
      </c>
      <c r="F4" s="27">
        <v>1000</v>
      </c>
      <c r="G4" s="28">
        <v>0.79</v>
      </c>
      <c r="H4" s="29" t="s">
        <v>33</v>
      </c>
      <c r="I4" s="30" t="s">
        <v>38</v>
      </c>
      <c r="J4" s="31">
        <f t="shared" ref="J4" si="0">F4*G4</f>
        <v>790</v>
      </c>
      <c r="K4"/>
      <c r="L4" s="32">
        <f>T4/J4</f>
        <v>0.30379746835443039</v>
      </c>
      <c r="M4" s="33" t="s">
        <v>44</v>
      </c>
      <c r="N4" s="34"/>
      <c r="O4" s="57" t="s">
        <v>45</v>
      </c>
      <c r="P4" s="57"/>
      <c r="Q4" s="35">
        <v>0.3</v>
      </c>
      <c r="R4" s="36">
        <v>80</v>
      </c>
      <c r="S4" s="37">
        <f t="shared" ref="S4" si="1">Q4*R4/100</f>
        <v>0.24</v>
      </c>
      <c r="T4" s="38">
        <f t="shared" ref="T4" si="2">S4*V4</f>
        <v>240</v>
      </c>
      <c r="U4" s="39">
        <f t="shared" ref="U4" si="3">Q4+S4</f>
        <v>0.54</v>
      </c>
      <c r="V4" s="40">
        <f t="shared" ref="V4" si="4">F4</f>
        <v>1000</v>
      </c>
      <c r="W4" s="41">
        <f>Q4*10</f>
        <v>3</v>
      </c>
      <c r="X4" s="42">
        <v>90</v>
      </c>
      <c r="Y4" s="43">
        <f t="shared" ref="Y4" si="5">V4*U4+W4+X4</f>
        <v>633</v>
      </c>
      <c r="Z4" s="44" t="s">
        <v>32</v>
      </c>
      <c r="AA4" s="45">
        <v>100</v>
      </c>
      <c r="AB4" s="46">
        <v>1</v>
      </c>
      <c r="AC4" s="47">
        <v>1</v>
      </c>
      <c r="AD4" s="46">
        <v>1</v>
      </c>
      <c r="AE4" s="48">
        <f t="shared" ref="AE4" si="6">AA4*AB4*AC4*AD4</f>
        <v>100</v>
      </c>
      <c r="AF4" s="49">
        <v>4.8499999999999996</v>
      </c>
      <c r="AG4" s="50">
        <f>1.5%*(Y4+AE4+AF4)</f>
        <v>11.06775</v>
      </c>
      <c r="AH4" s="42">
        <f t="shared" ref="AH4" si="7">Y4+AE4+AG4+AF4</f>
        <v>748.91775000000007</v>
      </c>
      <c r="AI4" s="51">
        <f t="shared" ref="AI4" si="8">AH4/V4</f>
        <v>0.74891775000000005</v>
      </c>
      <c r="AJ4" s="52">
        <f t="shared" ref="AJ4" si="9">AI4*18%</f>
        <v>0.13480519500000002</v>
      </c>
      <c r="AK4" s="53">
        <f t="shared" ref="AK4" si="10">AI4+AJ4</f>
        <v>0.88372294500000004</v>
      </c>
    </row>
    <row r="5" spans="1:217" ht="207" customHeight="1" x14ac:dyDescent="0.25">
      <c r="A5" s="24"/>
      <c r="B5" s="25">
        <v>2</v>
      </c>
      <c r="C5" s="54" t="s">
        <v>35</v>
      </c>
      <c r="D5" s="54" t="s">
        <v>34</v>
      </c>
      <c r="E5" s="26" t="s">
        <v>31</v>
      </c>
      <c r="F5" s="27">
        <v>1000</v>
      </c>
      <c r="G5" s="28">
        <v>0.99</v>
      </c>
      <c r="H5" s="29" t="s">
        <v>33</v>
      </c>
      <c r="I5" s="30" t="s">
        <v>39</v>
      </c>
      <c r="J5" s="31">
        <f t="shared" ref="J5:J6" si="11">F5*G5</f>
        <v>990</v>
      </c>
      <c r="K5"/>
      <c r="L5" s="32">
        <f>T5/J5</f>
        <v>0.25757575757575757</v>
      </c>
      <c r="M5" s="33" t="s">
        <v>40</v>
      </c>
      <c r="N5" s="34"/>
      <c r="O5" s="57"/>
      <c r="P5" s="57"/>
      <c r="Q5" s="35">
        <v>0.3</v>
      </c>
      <c r="R5" s="36">
        <v>85</v>
      </c>
      <c r="S5" s="37">
        <f t="shared" ref="S5:S6" si="12">Q5*R5/100</f>
        <v>0.255</v>
      </c>
      <c r="T5" s="38">
        <f t="shared" ref="T5:T6" si="13">S5*V5</f>
        <v>255</v>
      </c>
      <c r="U5" s="39">
        <f t="shared" ref="U5:U6" si="14">Q5+S5</f>
        <v>0.55499999999999994</v>
      </c>
      <c r="V5" s="40">
        <f t="shared" ref="V5:V6" si="15">F5</f>
        <v>1000</v>
      </c>
      <c r="W5" s="41">
        <f t="shared" ref="W5:W7" si="16">Q5*10</f>
        <v>3</v>
      </c>
      <c r="X5" s="42">
        <v>90</v>
      </c>
      <c r="Y5" s="43">
        <f t="shared" ref="Y5:Y6" si="17">V5*U5+W5+X5</f>
        <v>647.99999999999989</v>
      </c>
      <c r="Z5" s="44" t="s">
        <v>32</v>
      </c>
      <c r="AA5" s="45">
        <v>220</v>
      </c>
      <c r="AB5" s="46">
        <v>1</v>
      </c>
      <c r="AC5" s="47">
        <v>1</v>
      </c>
      <c r="AD5" s="46">
        <v>1</v>
      </c>
      <c r="AE5" s="48">
        <f t="shared" ref="AE5:AE6" si="18">AA5*AB5*AC5*AD5</f>
        <v>220</v>
      </c>
      <c r="AF5" s="49">
        <v>4.8499999999999996</v>
      </c>
      <c r="AG5" s="50">
        <f>1.5%*(Y5+AE5+AF5)</f>
        <v>13.092749999999999</v>
      </c>
      <c r="AH5" s="42">
        <f t="shared" ref="AH5:AH6" si="19">Y5+AE5+AG5+AF5</f>
        <v>885.94274999999993</v>
      </c>
      <c r="AI5" s="51">
        <f t="shared" ref="AI5:AI6" si="20">AH5/V5</f>
        <v>0.88594274999999989</v>
      </c>
      <c r="AJ5" s="52">
        <f t="shared" ref="AJ5:AJ6" si="21">AI5*18%</f>
        <v>0.15946969499999997</v>
      </c>
      <c r="AK5" s="53">
        <f t="shared" ref="AK5:AK6" si="22">AI5+AJ5</f>
        <v>1.0454124449999997</v>
      </c>
    </row>
    <row r="6" spans="1:217" ht="205.5" customHeight="1" x14ac:dyDescent="0.25">
      <c r="A6" s="24"/>
      <c r="B6" s="25">
        <v>3</v>
      </c>
      <c r="C6" s="54" t="s">
        <v>41</v>
      </c>
      <c r="D6" s="54" t="s">
        <v>42</v>
      </c>
      <c r="E6" s="26" t="s">
        <v>31</v>
      </c>
      <c r="F6" s="27">
        <v>1000</v>
      </c>
      <c r="G6" s="28">
        <v>0.75</v>
      </c>
      <c r="H6" s="29" t="s">
        <v>33</v>
      </c>
      <c r="I6" s="30" t="s">
        <v>43</v>
      </c>
      <c r="J6" s="31">
        <f t="shared" si="11"/>
        <v>750</v>
      </c>
      <c r="K6"/>
      <c r="L6" s="32">
        <f>T6/J6</f>
        <v>0.30672389127324751</v>
      </c>
      <c r="M6" s="33" t="s">
        <v>40</v>
      </c>
      <c r="N6" s="34"/>
      <c r="O6" s="57"/>
      <c r="P6" s="57"/>
      <c r="Q6" s="35">
        <f>335/1000/1.165</f>
        <v>0.28755364806866951</v>
      </c>
      <c r="R6" s="36">
        <v>80</v>
      </c>
      <c r="S6" s="37">
        <f t="shared" si="12"/>
        <v>0.23004291845493563</v>
      </c>
      <c r="T6" s="38">
        <f t="shared" si="13"/>
        <v>230.04291845493563</v>
      </c>
      <c r="U6" s="39">
        <f t="shared" si="14"/>
        <v>0.51759656652360508</v>
      </c>
      <c r="V6" s="40">
        <f t="shared" si="15"/>
        <v>1000</v>
      </c>
      <c r="W6" s="41">
        <f t="shared" si="16"/>
        <v>2.8755364806866952</v>
      </c>
      <c r="X6" s="42">
        <v>90</v>
      </c>
      <c r="Y6" s="43">
        <f t="shared" si="17"/>
        <v>610.47210300429185</v>
      </c>
      <c r="Z6" s="44" t="s">
        <v>32</v>
      </c>
      <c r="AA6" s="45">
        <v>90</v>
      </c>
      <c r="AB6" s="46">
        <v>1</v>
      </c>
      <c r="AC6" s="47">
        <v>1</v>
      </c>
      <c r="AD6" s="46">
        <v>1</v>
      </c>
      <c r="AE6" s="48">
        <f t="shared" si="18"/>
        <v>90</v>
      </c>
      <c r="AF6" s="49">
        <v>4.8499999999999996</v>
      </c>
      <c r="AG6" s="50">
        <f>1.5%*(Y6+AE6+AF6)</f>
        <v>10.579831545064378</v>
      </c>
      <c r="AH6" s="42">
        <f t="shared" si="19"/>
        <v>715.90193454935627</v>
      </c>
      <c r="AI6" s="51">
        <f t="shared" si="20"/>
        <v>0.71590193454935624</v>
      </c>
      <c r="AJ6" s="52">
        <f t="shared" si="21"/>
        <v>0.12886234821888412</v>
      </c>
      <c r="AK6" s="53">
        <f t="shared" si="22"/>
        <v>0.84476428276824034</v>
      </c>
    </row>
    <row r="7" spans="1:217" ht="207" customHeight="1" x14ac:dyDescent="0.25">
      <c r="A7" s="24"/>
      <c r="B7" s="25">
        <v>4</v>
      </c>
      <c r="C7" s="54" t="s">
        <v>41</v>
      </c>
      <c r="D7" s="54" t="s">
        <v>42</v>
      </c>
      <c r="E7" s="26" t="s">
        <v>31</v>
      </c>
      <c r="F7" s="27">
        <v>1000</v>
      </c>
      <c r="G7" s="28">
        <v>0.89</v>
      </c>
      <c r="H7" s="29" t="s">
        <v>33</v>
      </c>
      <c r="I7" s="30" t="s">
        <v>43</v>
      </c>
      <c r="J7" s="31">
        <f t="shared" ref="J7" si="23">F7*G7</f>
        <v>890</v>
      </c>
      <c r="K7"/>
      <c r="L7" s="32">
        <f>T7/J7</f>
        <v>0.27462988860490906</v>
      </c>
      <c r="M7" s="33" t="s">
        <v>40</v>
      </c>
      <c r="N7" s="34"/>
      <c r="O7" s="57"/>
      <c r="P7" s="57"/>
      <c r="Q7" s="35">
        <f>335/1000/1.165</f>
        <v>0.28755364806866951</v>
      </c>
      <c r="R7" s="36">
        <v>85</v>
      </c>
      <c r="S7" s="37">
        <f t="shared" ref="S7" si="24">Q7*R7/100</f>
        <v>0.24442060085836906</v>
      </c>
      <c r="T7" s="38">
        <f t="shared" ref="T7" si="25">S7*V7</f>
        <v>244.42060085836906</v>
      </c>
      <c r="U7" s="39">
        <f t="shared" ref="U7" si="26">Q7+S7</f>
        <v>0.5319742489270386</v>
      </c>
      <c r="V7" s="40">
        <f t="shared" ref="V7" si="27">F7</f>
        <v>1000</v>
      </c>
      <c r="W7" s="41">
        <f t="shared" si="16"/>
        <v>2.8755364806866952</v>
      </c>
      <c r="X7" s="42">
        <v>90</v>
      </c>
      <c r="Y7" s="43">
        <f t="shared" ref="Y7" si="28">V7*U7+W7+X7</f>
        <v>624.84978540772534</v>
      </c>
      <c r="Z7" s="44" t="s">
        <v>32</v>
      </c>
      <c r="AA7" s="45">
        <v>220</v>
      </c>
      <c r="AB7" s="46">
        <v>1</v>
      </c>
      <c r="AC7" s="47">
        <v>1</v>
      </c>
      <c r="AD7" s="46">
        <v>1</v>
      </c>
      <c r="AE7" s="48">
        <f t="shared" ref="AE7" si="29">AA7*AB7*AC7*AD7</f>
        <v>220</v>
      </c>
      <c r="AF7" s="49">
        <v>4.8499999999999996</v>
      </c>
      <c r="AG7" s="50">
        <f>1.5%*(Y7+AE7+AF7)</f>
        <v>12.745496781115881</v>
      </c>
      <c r="AH7" s="42">
        <f t="shared" ref="AH7" si="30">Y7+AE7+AG7+AF7</f>
        <v>862.44528218884125</v>
      </c>
      <c r="AI7" s="51">
        <f t="shared" ref="AI7" si="31">AH7/V7</f>
        <v>0.8624452821888412</v>
      </c>
      <c r="AJ7" s="52">
        <f t="shared" ref="AJ7" si="32">AI7*18%</f>
        <v>0.15524015079399142</v>
      </c>
      <c r="AK7" s="53">
        <f t="shared" ref="AK7" si="33">AI7+AJ7</f>
        <v>1.0176854329828326</v>
      </c>
    </row>
  </sheetData>
  <mergeCells count="5">
    <mergeCell ref="O7:P7"/>
    <mergeCell ref="B2:J2"/>
    <mergeCell ref="O4:P4"/>
    <mergeCell ref="O5:P5"/>
    <mergeCell ref="O6:P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4E5E-A2D8-42C1-967B-FDE8165962F6}">
  <dimension ref="A2:HI8"/>
  <sheetViews>
    <sheetView showGridLines="0" tabSelected="1" zoomScale="50" zoomScaleNormal="50" zoomScaleSheetLayoutView="50" workbookViewId="0">
      <selection activeCell="Q5" sqref="Q5"/>
    </sheetView>
  </sheetViews>
  <sheetFormatPr baseColWidth="10" defaultColWidth="11.42578125" defaultRowHeight="21" x14ac:dyDescent="0.35"/>
  <cols>
    <col min="1" max="1" width="3.5703125" customWidth="1"/>
    <col min="2" max="2" width="5" bestFit="1" customWidth="1"/>
    <col min="3" max="3" width="18.140625" customWidth="1"/>
    <col min="4" max="4" width="29.7109375" customWidth="1"/>
    <col min="5" max="5" width="48.5703125" customWidth="1"/>
    <col min="6" max="6" width="13.42578125" customWidth="1"/>
    <col min="7" max="7" width="23.140625" customWidth="1"/>
    <col min="8" max="8" width="18.5703125" customWidth="1"/>
    <col min="9" max="9" width="76.85546875" customWidth="1"/>
    <col min="10" max="10" width="29" customWidth="1"/>
    <col min="11" max="11" width="9.42578125" style="1" customWidth="1"/>
    <col min="12" max="12" width="13.42578125" customWidth="1"/>
    <col min="13" max="13" width="26.140625" customWidth="1"/>
    <col min="14" max="14" width="16.7109375" customWidth="1"/>
    <col min="15" max="15" width="9.28515625" customWidth="1"/>
    <col min="16" max="16" width="15.85546875" customWidth="1"/>
    <col min="17" max="17" width="22.7109375" style="5" customWidth="1"/>
    <col min="18" max="18" width="11.42578125" style="5"/>
    <col min="19" max="19" width="22.140625" style="5" customWidth="1"/>
    <col min="20" max="20" width="27.7109375" style="5" customWidth="1"/>
    <col min="21" max="21" width="17.5703125" style="5" customWidth="1"/>
    <col min="22" max="22" width="18.28515625" style="5" customWidth="1"/>
    <col min="23" max="23" width="21.42578125" style="5" customWidth="1"/>
    <col min="24" max="24" width="20.42578125" style="5" customWidth="1"/>
    <col min="25" max="25" width="31.28515625" style="5" customWidth="1"/>
    <col min="26" max="26" width="21.85546875" style="5" customWidth="1"/>
    <col min="27" max="27" width="22.42578125" style="5" customWidth="1"/>
    <col min="28" max="30" width="11.42578125" style="5"/>
    <col min="31" max="31" width="20.7109375" style="5" customWidth="1"/>
    <col min="32" max="32" width="23.28515625" style="5" customWidth="1"/>
    <col min="33" max="33" width="22.28515625" style="5" customWidth="1"/>
    <col min="34" max="34" width="30.85546875" style="5" customWidth="1"/>
    <col min="35" max="35" width="29" style="5" customWidth="1"/>
    <col min="36" max="36" width="22.5703125" style="5" customWidth="1"/>
    <col min="37" max="37" width="32.140625" style="5" customWidth="1"/>
  </cols>
  <sheetData>
    <row r="2" spans="1:217" s="6" customFormat="1" ht="22.5" customHeight="1" x14ac:dyDescent="0.35">
      <c r="A2"/>
      <c r="B2" s="58" t="s">
        <v>47</v>
      </c>
      <c r="C2" s="58"/>
      <c r="D2" s="58"/>
      <c r="E2" s="58"/>
      <c r="F2" s="58"/>
      <c r="G2" s="58"/>
      <c r="H2" s="58"/>
      <c r="I2" s="58"/>
      <c r="J2" s="58"/>
      <c r="K2" s="1"/>
      <c r="L2" s="2"/>
      <c r="M2"/>
      <c r="N2" s="3"/>
      <c r="O2"/>
      <c r="P2" s="4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</row>
    <row r="3" spans="1:217" s="6" customFormat="1" ht="57" customHeight="1" x14ac:dyDescent="0.35">
      <c r="A3" s="7"/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37</v>
      </c>
      <c r="H3" s="8" t="s">
        <v>5</v>
      </c>
      <c r="I3" s="8" t="s">
        <v>6</v>
      </c>
      <c r="J3" s="8" t="s">
        <v>36</v>
      </c>
      <c r="K3" s="9"/>
      <c r="L3" s="2"/>
      <c r="M3" s="10" t="s">
        <v>7</v>
      </c>
      <c r="N3" s="11" t="s">
        <v>8</v>
      </c>
      <c r="O3" s="11" t="s">
        <v>9</v>
      </c>
      <c r="P3" s="12" t="s">
        <v>10</v>
      </c>
      <c r="Q3" s="13" t="s">
        <v>11</v>
      </c>
      <c r="R3" s="14" t="s">
        <v>12</v>
      </c>
      <c r="S3" s="14" t="s">
        <v>13</v>
      </c>
      <c r="T3" s="15" t="s">
        <v>14</v>
      </c>
      <c r="U3" s="14" t="s">
        <v>15</v>
      </c>
      <c r="V3" s="14" t="s">
        <v>16</v>
      </c>
      <c r="W3" s="16" t="s">
        <v>17</v>
      </c>
      <c r="X3" s="10" t="s">
        <v>18</v>
      </c>
      <c r="Y3" s="17" t="s">
        <v>19</v>
      </c>
      <c r="Z3" s="18" t="s">
        <v>20</v>
      </c>
      <c r="AA3" s="19" t="s">
        <v>21</v>
      </c>
      <c r="AB3" s="19" t="s">
        <v>22</v>
      </c>
      <c r="AC3" s="19" t="s">
        <v>23</v>
      </c>
      <c r="AD3" s="19" t="s">
        <v>24</v>
      </c>
      <c r="AE3" s="20" t="s">
        <v>25</v>
      </c>
      <c r="AF3" s="10" t="s">
        <v>26</v>
      </c>
      <c r="AG3" s="10" t="s">
        <v>27</v>
      </c>
      <c r="AH3" s="21" t="s">
        <v>15</v>
      </c>
      <c r="AI3" s="22" t="s">
        <v>28</v>
      </c>
      <c r="AJ3" s="22" t="s">
        <v>29</v>
      </c>
      <c r="AK3" s="23" t="s">
        <v>30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</row>
    <row r="4" spans="1:217" ht="205.5" customHeight="1" x14ac:dyDescent="0.25">
      <c r="A4" s="24"/>
      <c r="B4" s="25">
        <v>1</v>
      </c>
      <c r="C4" s="54" t="s">
        <v>48</v>
      </c>
      <c r="D4" s="54" t="s">
        <v>34</v>
      </c>
      <c r="E4" s="26" t="s">
        <v>31</v>
      </c>
      <c r="F4" s="27">
        <v>1000</v>
      </c>
      <c r="G4" s="28">
        <v>1.0900000000000001</v>
      </c>
      <c r="H4" s="29" t="s">
        <v>33</v>
      </c>
      <c r="I4" s="30" t="s">
        <v>51</v>
      </c>
      <c r="J4" s="31">
        <f>F4*G4</f>
        <v>1090</v>
      </c>
      <c r="K4"/>
      <c r="L4" s="32">
        <f>T4/J4</f>
        <v>0.28349805095089964</v>
      </c>
      <c r="M4" s="33" t="s">
        <v>49</v>
      </c>
      <c r="N4" s="34" t="s">
        <v>55</v>
      </c>
      <c r="O4" s="57" t="s">
        <v>50</v>
      </c>
      <c r="P4" s="57"/>
      <c r="Q4" s="35">
        <f>0.45/1.165</f>
        <v>0.38626609442060084</v>
      </c>
      <c r="R4" s="36">
        <v>80</v>
      </c>
      <c r="S4" s="37">
        <f t="shared" ref="S4:S5" si="0">Q4*R4/100</f>
        <v>0.30901287553648066</v>
      </c>
      <c r="T4" s="38">
        <f t="shared" ref="T4:T5" si="1">S4*V4</f>
        <v>309.01287553648064</v>
      </c>
      <c r="U4" s="39">
        <f t="shared" ref="U4:U5" si="2">Q4+S4</f>
        <v>0.69527896995708149</v>
      </c>
      <c r="V4" s="40">
        <f t="shared" ref="V4:V5" si="3">F4</f>
        <v>1000</v>
      </c>
      <c r="W4" s="41">
        <f>Q4*10</f>
        <v>3.8626609442060085</v>
      </c>
      <c r="X4" s="42">
        <v>90</v>
      </c>
      <c r="Y4" s="43">
        <f t="shared" ref="Y4:Y5" si="4">V4*U4+W4+X4</f>
        <v>789.1416309012875</v>
      </c>
      <c r="Z4" s="44" t="s">
        <v>73</v>
      </c>
      <c r="AA4" s="45">
        <v>220</v>
      </c>
      <c r="AB4" s="46">
        <v>1</v>
      </c>
      <c r="AC4" s="47">
        <v>1</v>
      </c>
      <c r="AD4" s="46">
        <v>1</v>
      </c>
      <c r="AE4" s="48">
        <f t="shared" ref="AE4:AE5" si="5">AA4*AB4*AC4*AD4</f>
        <v>220</v>
      </c>
      <c r="AF4" s="49">
        <v>4.8499999999999996</v>
      </c>
      <c r="AG4" s="50">
        <f>1.5%*(Y4+AE4+AF4)</f>
        <v>15.209874463519313</v>
      </c>
      <c r="AH4" s="42">
        <f t="shared" ref="AH4:AH5" si="6">Y4+AE4+AG4+AF4</f>
        <v>1029.2015053648067</v>
      </c>
      <c r="AI4" s="51">
        <f t="shared" ref="AI4:AI5" si="7">AH4/V4</f>
        <v>1.0292015053648067</v>
      </c>
      <c r="AJ4" s="52">
        <f t="shared" ref="AJ4:AJ5" si="8">AI4*18%</f>
        <v>0.18525627096566519</v>
      </c>
      <c r="AK4" s="53">
        <f t="shared" ref="AK4:AK5" si="9">AI4+AJ4</f>
        <v>1.2144577763304718</v>
      </c>
    </row>
    <row r="5" spans="1:217" ht="207" customHeight="1" x14ac:dyDescent="0.25">
      <c r="A5" s="24"/>
      <c r="B5" s="25">
        <v>2</v>
      </c>
      <c r="C5" s="54" t="s">
        <v>52</v>
      </c>
      <c r="D5" s="54" t="s">
        <v>42</v>
      </c>
      <c r="E5" s="26" t="s">
        <v>31</v>
      </c>
      <c r="F5" s="27">
        <v>1000</v>
      </c>
      <c r="G5" s="28">
        <v>0.99</v>
      </c>
      <c r="H5" s="29" t="s">
        <v>33</v>
      </c>
      <c r="I5" s="30" t="s">
        <v>56</v>
      </c>
      <c r="J5" s="31">
        <f t="shared" ref="J5" si="10">F5*G5</f>
        <v>990</v>
      </c>
      <c r="K5"/>
      <c r="L5" s="32">
        <f>T5/J5</f>
        <v>0.29881422924901185</v>
      </c>
      <c r="M5" s="33" t="s">
        <v>40</v>
      </c>
      <c r="N5" s="34" t="s">
        <v>54</v>
      </c>
      <c r="O5" s="57" t="s">
        <v>53</v>
      </c>
      <c r="P5" s="57"/>
      <c r="Q5" s="35">
        <f>0.42/1.15</f>
        <v>0.36521739130434783</v>
      </c>
      <c r="R5" s="36">
        <v>81</v>
      </c>
      <c r="S5" s="37">
        <f t="shared" si="0"/>
        <v>0.29582608695652174</v>
      </c>
      <c r="T5" s="38">
        <f t="shared" si="1"/>
        <v>295.82608695652175</v>
      </c>
      <c r="U5" s="39">
        <f t="shared" si="2"/>
        <v>0.66104347826086962</v>
      </c>
      <c r="V5" s="40">
        <f t="shared" si="3"/>
        <v>1000</v>
      </c>
      <c r="W5" s="41">
        <f t="shared" ref="W5" si="11">Q5*10</f>
        <v>3.6521739130434785</v>
      </c>
      <c r="X5" s="42">
        <v>90</v>
      </c>
      <c r="Y5" s="43">
        <f t="shared" si="4"/>
        <v>754.69565217391312</v>
      </c>
      <c r="Z5" s="44" t="s">
        <v>73</v>
      </c>
      <c r="AA5" s="45">
        <v>220</v>
      </c>
      <c r="AB5" s="46">
        <v>1</v>
      </c>
      <c r="AC5" s="47">
        <v>1</v>
      </c>
      <c r="AD5" s="46">
        <v>1</v>
      </c>
      <c r="AE5" s="48">
        <f t="shared" si="5"/>
        <v>220</v>
      </c>
      <c r="AF5" s="49">
        <v>4.8499999999999996</v>
      </c>
      <c r="AG5" s="50">
        <f>1.5%*(Y5+AE5+AF5)</f>
        <v>14.693184782608697</v>
      </c>
      <c r="AH5" s="42">
        <f t="shared" si="6"/>
        <v>994.23883695652182</v>
      </c>
      <c r="AI5" s="51">
        <f t="shared" si="7"/>
        <v>0.99423883695652182</v>
      </c>
      <c r="AJ5" s="52">
        <f t="shared" si="8"/>
        <v>0.17896299065217391</v>
      </c>
      <c r="AK5" s="53">
        <f t="shared" si="9"/>
        <v>1.1732018276086957</v>
      </c>
    </row>
    <row r="6" spans="1:217" ht="207" customHeight="1" x14ac:dyDescent="0.25">
      <c r="A6" s="24"/>
      <c r="B6" s="25">
        <v>3</v>
      </c>
      <c r="C6" s="55" t="s">
        <v>57</v>
      </c>
      <c r="D6" s="54" t="s">
        <v>42</v>
      </c>
      <c r="E6" s="26" t="s">
        <v>31</v>
      </c>
      <c r="F6" s="27">
        <v>1000</v>
      </c>
      <c r="G6" s="28">
        <v>1.1499999999999999</v>
      </c>
      <c r="H6" s="29" t="s">
        <v>33</v>
      </c>
      <c r="I6" s="30" t="s">
        <v>66</v>
      </c>
      <c r="J6" s="31">
        <f t="shared" ref="J6" si="12">F6*G6</f>
        <v>1150</v>
      </c>
      <c r="K6"/>
      <c r="L6" s="32">
        <f>T6/J6</f>
        <v>0.29347826086956524</v>
      </c>
      <c r="M6" s="56" t="s">
        <v>58</v>
      </c>
      <c r="N6" s="56" t="s">
        <v>59</v>
      </c>
      <c r="O6" s="59" t="s">
        <v>65</v>
      </c>
      <c r="P6" s="59"/>
      <c r="Q6" s="35">
        <v>0.45</v>
      </c>
      <c r="R6" s="36">
        <v>75</v>
      </c>
      <c r="S6" s="37">
        <f t="shared" ref="S6" si="13">Q6*R6/100</f>
        <v>0.33750000000000002</v>
      </c>
      <c r="T6" s="38">
        <f t="shared" ref="T6" si="14">S6*V6</f>
        <v>337.5</v>
      </c>
      <c r="U6" s="39">
        <f t="shared" ref="U6" si="15">Q6+S6</f>
        <v>0.78750000000000009</v>
      </c>
      <c r="V6" s="40">
        <f t="shared" ref="V6" si="16">F6</f>
        <v>1000</v>
      </c>
      <c r="W6" s="41">
        <f t="shared" ref="W6" si="17">Q6*10</f>
        <v>4.5</v>
      </c>
      <c r="X6" s="42">
        <v>90</v>
      </c>
      <c r="Y6" s="43">
        <f t="shared" ref="Y6" si="18">V6*U6+W6+X6</f>
        <v>882.00000000000011</v>
      </c>
      <c r="Z6" s="44" t="s">
        <v>73</v>
      </c>
      <c r="AA6" s="45">
        <v>220</v>
      </c>
      <c r="AB6" s="46">
        <v>1</v>
      </c>
      <c r="AC6" s="47">
        <v>1</v>
      </c>
      <c r="AD6" s="46">
        <v>1</v>
      </c>
      <c r="AE6" s="48">
        <f t="shared" ref="AE6" si="19">AA6*AB6*AC6*AD6</f>
        <v>220</v>
      </c>
      <c r="AF6" s="49">
        <v>4.8499999999999996</v>
      </c>
      <c r="AG6" s="50">
        <f>1.5%*(Y6+AE6+AF6)</f>
        <v>16.602749999999997</v>
      </c>
      <c r="AH6" s="42">
        <f t="shared" ref="AH6" si="20">Y6+AE6+AG6+AF6</f>
        <v>1123.4527499999999</v>
      </c>
      <c r="AI6" s="51">
        <f t="shared" ref="AI6" si="21">AH6/V6</f>
        <v>1.12345275</v>
      </c>
      <c r="AJ6" s="52">
        <f t="shared" ref="AJ6" si="22">AI6*18%</f>
        <v>0.202221495</v>
      </c>
      <c r="AK6" s="53">
        <f t="shared" ref="AK6" si="23">AI6+AJ6</f>
        <v>1.3256742450000001</v>
      </c>
    </row>
    <row r="7" spans="1:217" ht="252" customHeight="1" x14ac:dyDescent="0.25">
      <c r="A7" s="24"/>
      <c r="B7" s="25">
        <v>4</v>
      </c>
      <c r="C7" s="55" t="s">
        <v>64</v>
      </c>
      <c r="D7" s="54" t="s">
        <v>60</v>
      </c>
      <c r="E7" s="26" t="s">
        <v>31</v>
      </c>
      <c r="F7" s="27">
        <v>1000</v>
      </c>
      <c r="G7" s="28">
        <v>1.29</v>
      </c>
      <c r="H7" s="29" t="s">
        <v>33</v>
      </c>
      <c r="I7" s="30" t="s">
        <v>72</v>
      </c>
      <c r="J7" s="31">
        <f t="shared" ref="J7" si="24">F7*G7</f>
        <v>1290</v>
      </c>
      <c r="K7"/>
      <c r="L7" s="32">
        <f>T7/J7</f>
        <v>0.28759689922480619</v>
      </c>
      <c r="M7" s="56" t="s">
        <v>62</v>
      </c>
      <c r="N7" s="56" t="s">
        <v>61</v>
      </c>
      <c r="O7" s="59" t="s">
        <v>63</v>
      </c>
      <c r="P7" s="59"/>
      <c r="Q7" s="35">
        <v>0.53</v>
      </c>
      <c r="R7" s="36">
        <v>70</v>
      </c>
      <c r="S7" s="37">
        <f t="shared" ref="S7" si="25">Q7*R7/100</f>
        <v>0.371</v>
      </c>
      <c r="T7" s="38">
        <f t="shared" ref="T7" si="26">S7*V7</f>
        <v>371</v>
      </c>
      <c r="U7" s="39">
        <f t="shared" ref="U7" si="27">Q7+S7</f>
        <v>0.90100000000000002</v>
      </c>
      <c r="V7" s="40">
        <f t="shared" ref="V7" si="28">F7</f>
        <v>1000</v>
      </c>
      <c r="W7" s="41">
        <f t="shared" ref="W7" si="29">Q7*10</f>
        <v>5.3000000000000007</v>
      </c>
      <c r="X7" s="42">
        <v>90</v>
      </c>
      <c r="Y7" s="43">
        <f t="shared" ref="Y7" si="30">V7*U7+W7+X7</f>
        <v>996.3</v>
      </c>
      <c r="Z7" s="44" t="s">
        <v>73</v>
      </c>
      <c r="AA7" s="45">
        <v>220</v>
      </c>
      <c r="AB7" s="46">
        <v>1</v>
      </c>
      <c r="AC7" s="47">
        <v>1</v>
      </c>
      <c r="AD7" s="46">
        <v>1</v>
      </c>
      <c r="AE7" s="48">
        <f t="shared" ref="AE7" si="31">AA7*AB7*AC7*AD7</f>
        <v>220</v>
      </c>
      <c r="AF7" s="49">
        <v>4.8499999999999996</v>
      </c>
      <c r="AG7" s="50">
        <f>1.5%*(Y7+AE7+AF7)</f>
        <v>18.317249999999998</v>
      </c>
      <c r="AH7" s="42">
        <f t="shared" ref="AH7" si="32">Y7+AE7+AG7+AF7</f>
        <v>1239.4672499999999</v>
      </c>
      <c r="AI7" s="51">
        <f t="shared" ref="AI7" si="33">AH7/V7</f>
        <v>1.2394672499999999</v>
      </c>
      <c r="AJ7" s="52">
        <f t="shared" ref="AJ7" si="34">AI7*18%</f>
        <v>0.22310410499999997</v>
      </c>
      <c r="AK7" s="53">
        <f t="shared" ref="AK7" si="35">AI7+AJ7</f>
        <v>1.4625713549999999</v>
      </c>
    </row>
    <row r="8" spans="1:217" ht="237" customHeight="1" x14ac:dyDescent="0.25">
      <c r="A8" s="24"/>
      <c r="B8" s="25">
        <v>5</v>
      </c>
      <c r="C8" s="55" t="s">
        <v>67</v>
      </c>
      <c r="D8" s="54" t="s">
        <v>68</v>
      </c>
      <c r="E8" s="26" t="s">
        <v>31</v>
      </c>
      <c r="F8" s="27">
        <v>1000</v>
      </c>
      <c r="G8" s="28">
        <v>1.19</v>
      </c>
      <c r="H8" s="29" t="s">
        <v>33</v>
      </c>
      <c r="I8" s="30" t="s">
        <v>71</v>
      </c>
      <c r="J8" s="31">
        <f t="shared" ref="J8" si="36">F8*G8</f>
        <v>1190</v>
      </c>
      <c r="K8"/>
      <c r="L8" s="32">
        <f>T8/J8</f>
        <v>0.30252100840336132</v>
      </c>
      <c r="M8" s="56" t="s">
        <v>62</v>
      </c>
      <c r="N8" s="56" t="s">
        <v>70</v>
      </c>
      <c r="O8" s="59" t="s">
        <v>69</v>
      </c>
      <c r="P8" s="59"/>
      <c r="Q8" s="35">
        <v>0.5</v>
      </c>
      <c r="R8" s="36">
        <v>72</v>
      </c>
      <c r="S8" s="37">
        <f t="shared" ref="S8" si="37">Q8*R8/100</f>
        <v>0.36</v>
      </c>
      <c r="T8" s="38">
        <f t="shared" ref="T8" si="38">S8*V8</f>
        <v>360</v>
      </c>
      <c r="U8" s="39">
        <f t="shared" ref="U8" si="39">Q8+S8</f>
        <v>0.86</v>
      </c>
      <c r="V8" s="40">
        <f t="shared" ref="V8" si="40">F8</f>
        <v>1000</v>
      </c>
      <c r="W8" s="41">
        <f t="shared" ref="W8" si="41">Q8*10</f>
        <v>5</v>
      </c>
      <c r="X8" s="42">
        <v>90</v>
      </c>
      <c r="Y8" s="43">
        <f t="shared" ref="Y8" si="42">V8*U8+W8+X8</f>
        <v>955</v>
      </c>
      <c r="Z8" s="44" t="s">
        <v>73</v>
      </c>
      <c r="AA8" s="45">
        <v>220</v>
      </c>
      <c r="AB8" s="46">
        <v>1</v>
      </c>
      <c r="AC8" s="47">
        <v>1</v>
      </c>
      <c r="AD8" s="46">
        <v>1</v>
      </c>
      <c r="AE8" s="48">
        <f t="shared" ref="AE8" si="43">AA8*AB8*AC8*AD8</f>
        <v>220</v>
      </c>
      <c r="AF8" s="49">
        <v>4.8499999999999996</v>
      </c>
      <c r="AG8" s="50">
        <f>1.5%*(Y8+AE8+AF8)</f>
        <v>17.697749999999999</v>
      </c>
      <c r="AH8" s="42">
        <f t="shared" ref="AH8" si="44">Y8+AE8+AG8+AF8</f>
        <v>1197.54775</v>
      </c>
      <c r="AI8" s="51">
        <f t="shared" ref="AI8" si="45">AH8/V8</f>
        <v>1.19754775</v>
      </c>
      <c r="AJ8" s="52">
        <f t="shared" ref="AJ8" si="46">AI8*18%</f>
        <v>0.21555859499999999</v>
      </c>
      <c r="AK8" s="53">
        <f t="shared" ref="AK8" si="47">AI8+AJ8</f>
        <v>1.4131063450000001</v>
      </c>
    </row>
  </sheetData>
  <mergeCells count="6">
    <mergeCell ref="O7:P7"/>
    <mergeCell ref="O8:P8"/>
    <mergeCell ref="B2:J2"/>
    <mergeCell ref="O4:P4"/>
    <mergeCell ref="O5:P5"/>
    <mergeCell ref="O6:P6"/>
  </mergeCells>
  <phoneticPr fontId="22" type="noConversion"/>
  <pageMargins left="0.7" right="0.7" top="0.75" bottom="0.75" header="0.3" footer="0.3"/>
  <pageSetup paperSize="9" orientation="portrait" horizontalDpi="1200" verticalDpi="1200" r:id="rId1"/>
  <ignoredErrors>
    <ignoredError sqref="N4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MARZO</vt:lpstr>
      <vt:lpstr>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 Diana Orellana Estrada</dc:creator>
  <cp:lastModifiedBy>Lady Diana Orellana Estrada</cp:lastModifiedBy>
  <dcterms:created xsi:type="dcterms:W3CDTF">2026-03-16T21:35:55Z</dcterms:created>
  <dcterms:modified xsi:type="dcterms:W3CDTF">2026-05-20T20:58:39Z</dcterms:modified>
</cp:coreProperties>
</file>