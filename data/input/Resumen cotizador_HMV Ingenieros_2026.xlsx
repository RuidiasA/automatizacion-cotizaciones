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HMV-Ingenieros/BD Cotizaciones/"/>
    </mc:Choice>
  </mc:AlternateContent>
  <xr:revisionPtr revIDLastSave="2" documentId="8_{2580A879-8B3C-4FF4-95E6-DF5C4FB5A438}" xr6:coauthVersionLast="47" xr6:coauthVersionMax="47" xr10:uidLastSave="{38AC34ED-A466-460C-84EF-ED02391F2764}"/>
  <bookViews>
    <workbookView xWindow="-120" yWindow="-120" windowWidth="29040" windowHeight="15720" tabRatio="611" xr2:uid="{00000000-000D-0000-FFFF-FFFF00000000}"/>
  </bookViews>
  <sheets>
    <sheet name="TAZAS" sheetId="1" r:id="rId1"/>
  </sheets>
  <externalReferences>
    <externalReference r:id="rId2"/>
    <externalReference r:id="rId3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1" l="1"/>
  <c r="AE4" i="1" s="1"/>
  <c r="W4" i="1"/>
  <c r="V4" i="1"/>
  <c r="S4" i="1"/>
  <c r="T4" i="1" s="1"/>
  <c r="U4" i="1" l="1"/>
  <c r="Y4" i="1" s="1"/>
  <c r="AG4" i="1" s="1"/>
  <c r="AH4" i="1" s="1"/>
  <c r="AI4" i="1" s="1"/>
  <c r="J4" i="1" s="1"/>
  <c r="L4" i="1" s="1"/>
  <c r="AJ4" i="1" l="1"/>
  <c r="AK4" i="1" s="1"/>
</calcChain>
</file>

<file path=xl/sharedStrings.xml><?xml version="1.0" encoding="utf-8"?>
<sst xmlns="http://schemas.openxmlformats.org/spreadsheetml/2006/main" count="41" uniqueCount="40">
  <si>
    <t>COTIZACIÓN PROPUESTA_HMV INGENIEROS_27.04.26</t>
  </si>
  <si>
    <t>Nº</t>
  </si>
  <si>
    <t>Cód. Artíc.</t>
  </si>
  <si>
    <t>Artículo</t>
  </si>
  <si>
    <t>Foto</t>
  </si>
  <si>
    <t xml:space="preserve">Cant. </t>
  </si>
  <si>
    <t>Costo Uni. NO (S/.)</t>
  </si>
  <si>
    <t>Tiempo Entrega</t>
  </si>
  <si>
    <t>Detalles</t>
  </si>
  <si>
    <t>Costo Total NO (S/.)</t>
  </si>
  <si>
    <t>proveedor</t>
  </si>
  <si>
    <t>Cod. Prod. Prov.</t>
  </si>
  <si>
    <t>Observaciones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</si>
  <si>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</si>
  <si>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</si>
  <si>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</si>
  <si>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</si>
  <si>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</si>
  <si>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</si>
  <si>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</si>
  <si>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</si>
  <si>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</si>
  <si>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</si>
  <si>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</si>
  <si>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</si>
  <si>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</si>
  <si>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</si>
  <si>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</si>
  <si>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</si>
  <si>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</si>
  <si>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</si>
  <si>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</si>
  <si>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</si>
  <si>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</si>
  <si>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COTM-450 TK</t>
  </si>
  <si>
    <t>TOMATODO PLÁSTICO</t>
  </si>
  <si>
    <t>5 a 7 Días útiles</t>
  </si>
  <si>
    <r>
      <rPr>
        <b/>
        <u/>
        <sz val="16"/>
        <color rgb="FF000000"/>
        <rFont val="Arial"/>
      </rPr>
      <t xml:space="preserve">TOMATODO PLÁSTICO
</t>
    </r>
    <r>
      <rPr>
        <sz val="16"/>
        <color rgb="FF000000"/>
        <rFont val="Arial"/>
      </rPr>
      <t xml:space="preserve">Tomatodo de PVC  800ml 
Medidas:24cm de alto con asa: 25cm de alto  7.5cm de ancho.
Modelo con sorbete, tapa push y asa.
Colores: Azul, blanco, negro, rojo, naranja y verde
Presentación: sin bolsa individual, caja grupal
</t>
    </r>
    <r>
      <rPr>
        <b/>
        <sz val="16"/>
        <color rgb="FFFF0000"/>
        <rFont val="Arial"/>
      </rPr>
      <t>*Incluye logo a 2 colores a 1 lado.
*Arte y diseño debe ser facilitado por el cliente</t>
    </r>
  </si>
  <si>
    <t>HPM</t>
  </si>
  <si>
    <t>UV IMPRESIÓN
EDGAR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</si>
</sst>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 * #,##0.00_ ;_ * \-#,##0.00_ ;_ * &quot;-&quot;??_ ;_ @_ "/>
    <numFmt numFmtId="166" formatCode="_ &quot;S/.&quot;\ * #,##0.00_ ;_ &quot;S/.&quot;\ * \-#,##0.00_ ;_ &quot;S/.&quot;\ * &quot;-&quot;??_ ;_ @_ "/>
    <numFmt numFmtId="167" formatCode="_-[$$-409]* #,##0.00_ ;_-[$$-409]* \-#,##0.00\ ;_-[$$-409]* &quot;-&quot;??_ ;_-@_ "/>
    <numFmt numFmtId="168" formatCode="_(* #,##0_);_(* \(#,##0\);_(* &quot;-&quot;??_);_(@_)"/>
    <numFmt numFmtId="169" formatCode="&quot;S/.&quot;\ #,##0.00"/>
    <numFmt numFmtId="170" formatCode="[$S/.-280A]\ #,##0.00"/>
    <numFmt numFmtId="171" formatCode="_(* #,##0.00_);_(* \(#,##0.00\);_(* &quot;-&quot;??_);_(@_)"/>
    <numFmt numFmtId="172" formatCode="_(&quot;$&quot;* #,##0.00_);_(&quot;$&quot;* \(#,##0.00\);_(&quot;$&quot;* &quot;-&quot;??_);_(@_)"/>
    <numFmt numFmtId="173" formatCode="_(* #,##0_);_(* \(#,##0\);_(* &quot;-&quot;_);_(@_)"/>
    <numFmt numFmtId="174" formatCode="_(&quot;$&quot;* #,##0_);_(&quot;$&quot;* \(#,##0\);_(&quot;$&quot;* &quot;-&quot;_);_(@_)"/>
    <numFmt numFmtId="175" formatCode="_([$€-2]\ * #,##0.00_);_([$€-2]\ * \(#,##0.00\);_([$€-2]\ * &quot;-&quot;??_)"/>
    <numFmt numFmtId="176" formatCode="_-[$€]* #,##0.00_-;\-[$€]* #,##0.00_-;_-[$€]* &quot;-&quot;??_-;_-@_-"/>
    <numFmt numFmtId="177" formatCode="_ &quot;€&quot;* #,##0.00_ ;_ &quot;€&quot;* \-#,##0.00_ ;_ &quot;€&quot;* &quot;-&quot;??_ ;_ @_ "/>
    <numFmt numFmtId="178" formatCode="[$S/.-280A]\ #,##0.000"/>
    <numFmt numFmtId="179" formatCode="_ &quot;S/.&quot;* #,##0.00_ ;_ &quot;S/.&quot;* \-#,##0.00_ ;_ &quot;S/.&quot;* &quot;-&quot;??_ ;_ @_ "/>
    <numFmt numFmtId="180" formatCode="_(&quot;S/.&quot;\ * #,##0.00_);_(&quot;S/.&quot;\ * \(#,##0.00\);_(&quot;S/.&quot;\ * &quot;-&quot;??_);_(@_)"/>
    <numFmt numFmtId="181" formatCode="000"/>
  </numFmts>
  <fonts count="7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6"/>
      <color rgb="FF000000"/>
      <name val="Arial"/>
      <family val="2"/>
      <charset val="1"/>
    </font>
    <font>
      <sz val="11"/>
      <color indexed="8"/>
      <name val="Calibri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rgb="FFFF0000"/>
      <name val="Arial"/>
      <family val="2"/>
    </font>
    <font>
      <sz val="16"/>
      <color theme="1"/>
      <name val="Arial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sz val="10"/>
      <name val="Times New Roman"/>
      <family val="1"/>
    </font>
    <font>
      <sz val="11"/>
      <color indexed="8"/>
      <name val="Tahoma"/>
      <family val="2"/>
    </font>
    <font>
      <sz val="11"/>
      <color indexed="9"/>
      <name val="Calibri"/>
      <family val="2"/>
    </font>
    <font>
      <sz val="11"/>
      <color indexed="9"/>
      <name val="Tahoma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2"/>
      <name val="宋体"/>
      <charset val="134"/>
    </font>
    <font>
      <sz val="11"/>
      <color indexed="52"/>
      <name val="Tahoma"/>
      <family val="2"/>
      <charset val="1"/>
    </font>
    <font>
      <u/>
      <sz val="6.05"/>
      <color theme="10"/>
      <name val="Calibri"/>
      <family val="2"/>
    </font>
    <font>
      <u/>
      <sz val="7.5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7"/>
      <name val="Tahoma"/>
      <family val="2"/>
    </font>
    <font>
      <sz val="11"/>
      <color indexed="20"/>
      <name val="Tahoma"/>
      <family val="2"/>
    </font>
    <font>
      <b/>
      <sz val="18"/>
      <color indexed="56"/>
      <name val="宋体"/>
      <charset val="134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b/>
      <sz val="11"/>
      <color indexed="9"/>
      <name val="Tahoma"/>
      <family val="2"/>
    </font>
    <font>
      <b/>
      <sz val="11"/>
      <color indexed="8"/>
      <name val="Tahoma"/>
      <family val="2"/>
    </font>
    <font>
      <i/>
      <sz val="11"/>
      <color indexed="23"/>
      <name val="Tahoma"/>
      <family val="2"/>
    </font>
    <font>
      <sz val="11"/>
      <color indexed="10"/>
      <name val="Tahoma"/>
      <family val="2"/>
    </font>
    <font>
      <b/>
      <sz val="11"/>
      <color indexed="52"/>
      <name val="Tahoma"/>
      <family val="2"/>
    </font>
    <font>
      <sz val="11"/>
      <color indexed="62"/>
      <name val="Tahoma"/>
      <family val="2"/>
    </font>
    <font>
      <b/>
      <sz val="11"/>
      <color indexed="63"/>
      <name val="Tahoma"/>
      <family val="2"/>
    </font>
    <font>
      <sz val="11"/>
      <color indexed="60"/>
      <name val="Tahoma"/>
      <family val="2"/>
    </font>
    <font>
      <sz val="11"/>
      <color indexed="52"/>
      <name val="Tahoma"/>
      <family val="2"/>
    </font>
    <font>
      <b/>
      <sz val="20"/>
      <color rgb="FFFF0000"/>
      <name val="Arial"/>
      <family val="2"/>
    </font>
    <font>
      <b/>
      <sz val="16"/>
      <color rgb="FF000000"/>
      <name val="Arial"/>
      <family val="2"/>
    </font>
    <font>
      <b/>
      <sz val="16"/>
      <color rgb="FFFF0000"/>
      <name val="Arial"/>
      <family val="2"/>
    </font>
    <font>
      <sz val="16"/>
      <color theme="1"/>
      <name val="Calibri"/>
      <family val="2"/>
      <scheme val="minor"/>
    </font>
    <font>
      <b/>
      <sz val="16"/>
      <name val="Arial"/>
      <family val="2"/>
      <charset val="1"/>
    </font>
    <font>
      <b/>
      <sz val="16"/>
      <color rgb="FFFFFFFF"/>
      <name val="Arial"/>
      <family val="2"/>
      <charset val="1"/>
    </font>
    <font>
      <sz val="16"/>
      <color rgb="FF000000"/>
      <name val="Calibri"/>
      <family val="2"/>
      <charset val="1"/>
    </font>
    <font>
      <sz val="16"/>
      <name val="Arial"/>
      <family val="2"/>
      <charset val="1"/>
    </font>
    <font>
      <b/>
      <sz val="16"/>
      <color rgb="FF000000"/>
      <name val="Calibri"/>
      <family val="2"/>
      <charset val="1"/>
    </font>
    <font>
      <b/>
      <sz val="16"/>
      <color theme="0"/>
      <name val="Arial"/>
      <family val="2"/>
    </font>
    <font>
      <sz val="12"/>
      <name val="宋体"/>
      <family val="3"/>
      <charset val="134"/>
    </font>
    <font>
      <u/>
      <sz val="12"/>
      <color theme="10"/>
      <name val="宋体"/>
      <family val="3"/>
      <charset val="134"/>
    </font>
    <font>
      <b/>
      <sz val="20"/>
      <color rgb="FF000000"/>
      <name val="Arial"/>
      <family val="2"/>
    </font>
    <font>
      <b/>
      <sz val="16"/>
      <color rgb="FF000000"/>
      <name val="Arial"/>
      <family val="2"/>
      <charset val="1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1"/>
      <name val="Arial"/>
      <family val="2"/>
    </font>
    <font>
      <b/>
      <sz val="18"/>
      <name val="Arial"/>
      <family val="2"/>
    </font>
    <font>
      <sz val="10"/>
      <color theme="1"/>
      <name val="Calibri"/>
      <family val="2"/>
      <scheme val="minor"/>
    </font>
    <font>
      <sz val="18"/>
      <name val="Calibri"/>
      <family val="2"/>
      <scheme val="minor"/>
    </font>
    <font>
      <b/>
      <u/>
      <sz val="16"/>
      <color rgb="FF000000"/>
      <name val="Arial"/>
    </font>
    <font>
      <sz val="16"/>
      <color rgb="FF000000"/>
      <name val="Arial"/>
    </font>
    <font>
      <b/>
      <sz val="16"/>
      <color rgb="FFFF0000"/>
      <name val="Arial"/>
    </font>
    <font>
      <sz val="16"/>
      <color theme="1"/>
      <name val="Arial"/>
    </font>
  </fonts>
  <fills count="5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FFCC00"/>
      </patternFill>
    </fill>
    <fill>
      <patternFill patternType="solid">
        <fgColor rgb="FF003366"/>
        <bgColor rgb="FF333399"/>
      </patternFill>
    </fill>
    <fill>
      <patternFill patternType="solid">
        <fgColor rgb="FFFFFF00"/>
        <bgColor rgb="FFFFCC00"/>
      </patternFill>
    </fill>
    <fill>
      <patternFill patternType="solid">
        <fgColor rgb="FFFF0000"/>
        <bgColor rgb="FFC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97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167" fontId="6" fillId="0" borderId="0" applyFont="0" applyFill="0" applyBorder="0" applyAlignment="0" applyProtection="0"/>
    <xf numFmtId="0" fontId="1" fillId="0" borderId="0"/>
    <xf numFmtId="0" fontId="1" fillId="0" borderId="0"/>
    <xf numFmtId="0" fontId="13" fillId="0" borderId="0" applyNumberFormat="0" applyFill="0" applyBorder="0" applyAlignment="0" applyProtection="0"/>
    <xf numFmtId="0" fontId="3" fillId="0" borderId="0"/>
    <xf numFmtId="171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7" borderId="0" applyNumberFormat="0" applyBorder="0" applyAlignment="0" applyProtection="0">
      <alignment vertical="center"/>
    </xf>
    <xf numFmtId="0" fontId="14" fillId="17" borderId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Protection="0">
      <alignment vertical="center"/>
    </xf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14" fillId="27" borderId="0" applyNumberFormat="0" applyBorder="0" applyAlignment="0" applyProtection="0">
      <alignment vertical="center"/>
    </xf>
    <xf numFmtId="0" fontId="14" fillId="27" borderId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Protection="0">
      <alignment vertical="center"/>
    </xf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6" fillId="35" borderId="0" applyNumberFormat="0" applyBorder="0" applyAlignment="0" applyProtection="0">
      <alignment vertical="center"/>
    </xf>
    <xf numFmtId="0" fontId="16" fillId="35" borderId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7" borderId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Protection="0">
      <alignment vertical="center"/>
    </xf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8" fillId="40" borderId="2" applyNumberFormat="0" applyAlignment="0" applyProtection="0"/>
    <xf numFmtId="0" fontId="18" fillId="40" borderId="2" applyNumberFormat="0" applyAlignment="0" applyProtection="0"/>
    <xf numFmtId="0" fontId="3" fillId="0" borderId="0"/>
    <xf numFmtId="0" fontId="19" fillId="41" borderId="3" applyNumberFormat="0" applyAlignment="0" applyProtection="0"/>
    <xf numFmtId="0" fontId="19" fillId="41" borderId="3" applyNumberFormat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22" fillId="16" borderId="2" applyNumberFormat="0" applyAlignment="0" applyProtection="0"/>
    <xf numFmtId="0" fontId="22" fillId="16" borderId="2" applyNumberFormat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7" fontId="23" fillId="0" borderId="0" applyFont="0" applyFill="0" applyBorder="0" applyAlignment="0" applyProtection="0"/>
    <xf numFmtId="176" fontId="3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24" fillId="0" borderId="4" applyProtection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9" fontId="3" fillId="0" borderId="0" applyFont="0" applyFill="0" applyBorder="0" applyAlignment="0" applyProtection="0"/>
    <xf numFmtId="177" fontId="2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7" fontId="2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80" fontId="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2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23" fillId="0" borderId="0">
      <alignment vertical="center"/>
    </xf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1" fillId="0" borderId="0">
      <alignment vertical="top"/>
    </xf>
    <xf numFmtId="0" fontId="6" fillId="47" borderId="5" applyNumberFormat="0" applyFont="0" applyAlignment="0" applyProtection="0"/>
    <xf numFmtId="0" fontId="6" fillId="47" borderId="5" applyNumberFormat="0" applyFont="0" applyAlignment="0" applyProtection="0"/>
    <xf numFmtId="0" fontId="6" fillId="47" borderId="5" applyNumberFormat="0" applyFont="0" applyAlignment="0" applyProtection="0"/>
    <xf numFmtId="0" fontId="6" fillId="47" borderId="5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2" fillId="40" borderId="6" applyNumberFormat="0" applyAlignment="0" applyProtection="0"/>
    <xf numFmtId="0" fontId="32" fillId="40" borderId="6" applyNumberFormat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7" applyNumberFormat="0" applyFill="0" applyAlignment="0" applyProtection="0"/>
    <xf numFmtId="0" fontId="35" fillId="0" borderId="7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9" fillId="19" borderId="0" applyNumberFormat="0" applyBorder="0" applyAlignment="0" applyProtection="0">
      <alignment vertical="center"/>
    </xf>
    <xf numFmtId="0" fontId="39" fillId="19" borderId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Protection="0">
      <alignment vertical="center"/>
    </xf>
    <xf numFmtId="0" fontId="23" fillId="0" borderId="0"/>
    <xf numFmtId="0" fontId="16" fillId="48" borderId="0" applyNumberFormat="0" applyBorder="0" applyAlignment="0" applyProtection="0">
      <alignment vertical="center"/>
    </xf>
    <xf numFmtId="0" fontId="16" fillId="48" borderId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7" borderId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7" applyNumberFormat="0" applyFill="0" applyAlignment="0" applyProtection="0">
      <alignment vertical="center"/>
    </xf>
    <xf numFmtId="0" fontId="42" fillId="0" borderId="7" applyProtection="0">
      <alignment vertical="center"/>
    </xf>
    <xf numFmtId="0" fontId="43" fillId="0" borderId="8" applyNumberFormat="0" applyFill="0" applyAlignment="0" applyProtection="0">
      <alignment vertical="center"/>
    </xf>
    <xf numFmtId="0" fontId="43" fillId="0" borderId="8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4" fillId="0" borderId="9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Protection="0">
      <alignment vertical="center"/>
    </xf>
    <xf numFmtId="0" fontId="41" fillId="0" borderId="0" applyProtection="0">
      <alignment vertical="center"/>
    </xf>
    <xf numFmtId="0" fontId="45" fillId="52" borderId="3" applyNumberFormat="0" applyAlignment="0" applyProtection="0">
      <alignment vertical="center"/>
    </xf>
    <xf numFmtId="0" fontId="45" fillId="52" borderId="3" applyProtection="0">
      <alignment vertical="center"/>
    </xf>
    <xf numFmtId="0" fontId="46" fillId="0" borderId="10" applyNumberFormat="0" applyFill="0" applyAlignment="0" applyProtection="0">
      <alignment vertical="center"/>
    </xf>
    <xf numFmtId="0" fontId="46" fillId="0" borderId="10" applyProtection="0">
      <alignment vertical="center"/>
    </xf>
    <xf numFmtId="0" fontId="23" fillId="53" borderId="5" applyNumberFormat="0" applyFont="0" applyAlignment="0" applyProtection="0">
      <alignment vertical="center"/>
    </xf>
    <xf numFmtId="0" fontId="23" fillId="53" borderId="5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Protection="0">
      <alignment vertical="center"/>
    </xf>
    <xf numFmtId="0" fontId="49" fillId="54" borderId="2" applyNumberFormat="0" applyAlignment="0" applyProtection="0">
      <alignment vertical="center"/>
    </xf>
    <xf numFmtId="0" fontId="49" fillId="54" borderId="2" applyProtection="0">
      <alignment vertical="center"/>
    </xf>
    <xf numFmtId="0" fontId="50" fillId="22" borderId="2" applyNumberFormat="0" applyAlignment="0" applyProtection="0">
      <alignment vertical="center"/>
    </xf>
    <xf numFmtId="0" fontId="50" fillId="22" borderId="2" applyProtection="0">
      <alignment vertical="center"/>
    </xf>
    <xf numFmtId="0" fontId="51" fillId="54" borderId="6" applyNumberFormat="0" applyAlignment="0" applyProtection="0">
      <alignment vertical="center"/>
    </xf>
    <xf numFmtId="0" fontId="51" fillId="54" borderId="6" applyProtection="0">
      <alignment vertical="center"/>
    </xf>
    <xf numFmtId="0" fontId="52" fillId="55" borderId="0" applyNumberFormat="0" applyBorder="0" applyAlignment="0" applyProtection="0">
      <alignment vertical="center"/>
    </xf>
    <xf numFmtId="0" fontId="52" fillId="55" borderId="0" applyProtection="0">
      <alignment vertical="center"/>
    </xf>
    <xf numFmtId="0" fontId="53" fillId="0" borderId="4" applyNumberFormat="0" applyFill="0" applyAlignment="0" applyProtection="0">
      <alignment vertical="center"/>
    </xf>
    <xf numFmtId="0" fontId="53" fillId="0" borderId="4" applyProtection="0">
      <alignment vertical="center"/>
    </xf>
    <xf numFmtId="167" fontId="6" fillId="0" borderId="0" applyFont="0" applyFill="0" applyBorder="0" applyAlignment="0" applyProtection="0"/>
    <xf numFmtId="0" fontId="23" fillId="0" borderId="0">
      <alignment vertical="center"/>
    </xf>
    <xf numFmtId="181" fontId="3" fillId="0" borderId="0" applyFont="0" applyFill="0" applyBorder="0" applyAlignment="0" applyProtection="0"/>
    <xf numFmtId="165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167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4" fillId="2" borderId="0" xfId="2" applyFont="1" applyFill="1"/>
    <xf numFmtId="0" fontId="4" fillId="2" borderId="0" xfId="2" applyFont="1" applyFill="1" applyAlignment="1">
      <alignment horizontal="center"/>
    </xf>
    <xf numFmtId="0" fontId="4" fillId="2" borderId="0" xfId="2" applyFont="1" applyFill="1" applyAlignment="1">
      <alignment wrapText="1"/>
    </xf>
    <xf numFmtId="0" fontId="5" fillId="0" borderId="0" xfId="1" applyNumberFormat="1" applyFont="1" applyFill="1" applyBorder="1" applyAlignment="1">
      <alignment horizontal="left" vertical="center" wrapText="1"/>
    </xf>
    <xf numFmtId="170" fontId="10" fillId="8" borderId="1" xfId="2" applyNumberFormat="1" applyFont="1" applyFill="1" applyBorder="1" applyAlignment="1">
      <alignment horizontal="center" vertical="center"/>
    </xf>
    <xf numFmtId="169" fontId="11" fillId="8" borderId="1" xfId="2" applyNumberFormat="1" applyFont="1" applyFill="1" applyBorder="1" applyAlignment="1">
      <alignment horizontal="center" vertical="center"/>
    </xf>
    <xf numFmtId="169" fontId="12" fillId="8" borderId="1" xfId="2" applyNumberFormat="1" applyFont="1" applyFill="1" applyBorder="1" applyAlignment="1">
      <alignment horizontal="center" vertical="center"/>
    </xf>
    <xf numFmtId="0" fontId="54" fillId="2" borderId="0" xfId="2" applyFont="1" applyFill="1" applyAlignment="1">
      <alignment horizontal="left" vertical="center"/>
    </xf>
    <xf numFmtId="0" fontId="10" fillId="0" borderId="0" xfId="0" applyFont="1"/>
    <xf numFmtId="0" fontId="55" fillId="4" borderId="1" xfId="1" applyNumberFormat="1" applyFont="1" applyFill="1" applyBorder="1" applyAlignment="1">
      <alignment horizontal="center" vertical="center" wrapText="1"/>
    </xf>
    <xf numFmtId="0" fontId="57" fillId="0" borderId="0" xfId="0" applyFont="1"/>
    <xf numFmtId="0" fontId="58" fillId="6" borderId="1" xfId="1" applyNumberFormat="1" applyFont="1" applyFill="1" applyBorder="1" applyAlignment="1">
      <alignment horizontal="center" vertical="center" wrapText="1"/>
    </xf>
    <xf numFmtId="0" fontId="59" fillId="5" borderId="1" xfId="1" applyNumberFormat="1" applyFont="1" applyFill="1" applyBorder="1" applyAlignment="1">
      <alignment horizontal="center" vertical="center" wrapText="1"/>
    </xf>
    <xf numFmtId="0" fontId="58" fillId="4" borderId="1" xfId="1" applyNumberFormat="1" applyFont="1" applyFill="1" applyBorder="1" applyAlignment="1">
      <alignment horizontal="center" vertical="center" wrapText="1"/>
    </xf>
    <xf numFmtId="0" fontId="59" fillId="7" borderId="1" xfId="1" applyNumberFormat="1" applyFont="1" applyFill="1" applyBorder="1" applyAlignment="1">
      <alignment horizontal="center" vertical="center" wrapText="1"/>
    </xf>
    <xf numFmtId="9" fontId="59" fillId="7" borderId="1" xfId="1" applyNumberFormat="1" applyFont="1" applyFill="1" applyBorder="1" applyAlignment="1">
      <alignment horizontal="center" vertical="center"/>
    </xf>
    <xf numFmtId="0" fontId="61" fillId="0" borderId="0" xfId="1" applyNumberFormat="1" applyFont="1" applyFill="1" applyBorder="1" applyAlignment="1"/>
    <xf numFmtId="169" fontId="56" fillId="2" borderId="1" xfId="2" applyNumberFormat="1" applyFont="1" applyFill="1" applyBorder="1" applyAlignment="1">
      <alignment horizontal="center" vertical="center"/>
    </xf>
    <xf numFmtId="169" fontId="9" fillId="2" borderId="1" xfId="2" applyNumberFormat="1" applyFont="1" applyFill="1" applyBorder="1" applyAlignment="1">
      <alignment horizontal="center" vertical="center"/>
    </xf>
    <xf numFmtId="169" fontId="10" fillId="9" borderId="1" xfId="2" applyNumberFormat="1" applyFont="1" applyFill="1" applyBorder="1" applyAlignment="1">
      <alignment horizontal="center" vertical="center"/>
    </xf>
    <xf numFmtId="169" fontId="10" fillId="0" borderId="1" xfId="2" applyNumberFormat="1" applyFont="1" applyBorder="1" applyAlignment="1">
      <alignment horizontal="center" vertical="center"/>
    </xf>
    <xf numFmtId="169" fontId="63" fillId="10" borderId="1" xfId="2" applyNumberFormat="1" applyFont="1" applyFill="1" applyBorder="1" applyAlignment="1">
      <alignment horizontal="center" vertical="center"/>
    </xf>
    <xf numFmtId="170" fontId="56" fillId="2" borderId="1" xfId="2" applyNumberFormat="1" applyFont="1" applyFill="1" applyBorder="1" applyAlignment="1">
      <alignment horizontal="center" vertical="center"/>
    </xf>
    <xf numFmtId="0" fontId="56" fillId="2" borderId="0" xfId="2" applyFont="1" applyFill="1" applyAlignment="1">
      <alignment horizontal="left" vertical="center"/>
    </xf>
    <xf numFmtId="0" fontId="4" fillId="0" borderId="0" xfId="2" applyFont="1"/>
    <xf numFmtId="0" fontId="60" fillId="0" borderId="0" xfId="1" applyNumberFormat="1" applyFont="1" applyFill="1" applyBorder="1" applyAlignment="1"/>
    <xf numFmtId="0" fontId="60" fillId="0" borderId="0" xfId="1" applyNumberFormat="1" applyFont="1" applyFill="1" applyBorder="1" applyAlignment="1">
      <alignment horizontal="center" wrapText="1"/>
    </xf>
    <xf numFmtId="0" fontId="62" fillId="0" borderId="0" xfId="1" applyNumberFormat="1" applyFont="1" applyFill="1" applyBorder="1" applyAlignment="1">
      <alignment horizontal="center" wrapText="1"/>
    </xf>
    <xf numFmtId="0" fontId="67" fillId="0" borderId="0" xfId="1" applyNumberFormat="1" applyFont="1" applyFill="1" applyBorder="1" applyAlignment="1">
      <alignment horizontal="left" vertical="center" wrapText="1"/>
    </xf>
    <xf numFmtId="0" fontId="70" fillId="2" borderId="1" xfId="624" applyFont="1" applyFill="1" applyBorder="1" applyAlignment="1">
      <alignment horizontal="center" vertical="center"/>
    </xf>
    <xf numFmtId="169" fontId="71" fillId="0" borderId="1" xfId="2" applyNumberFormat="1" applyFont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170" fontId="10" fillId="2" borderId="1" xfId="2" applyNumberFormat="1" applyFont="1" applyFill="1" applyBorder="1" applyAlignment="1">
      <alignment horizontal="center" vertical="center"/>
    </xf>
    <xf numFmtId="0" fontId="4" fillId="9" borderId="1" xfId="2" applyFont="1" applyFill="1" applyBorder="1" applyAlignment="1">
      <alignment horizontal="center" vertical="center"/>
    </xf>
    <xf numFmtId="169" fontId="10" fillId="8" borderId="11" xfId="2" applyNumberFormat="1" applyFont="1" applyFill="1" applyBorder="1" applyAlignment="1">
      <alignment horizontal="center" vertical="center"/>
    </xf>
    <xf numFmtId="169" fontId="10" fillId="2" borderId="1" xfId="2" applyNumberFormat="1" applyFont="1" applyFill="1" applyBorder="1" applyAlignment="1">
      <alignment horizontal="center" vertical="center"/>
    </xf>
    <xf numFmtId="169" fontId="10" fillId="56" borderId="1" xfId="2" applyNumberFormat="1" applyFont="1" applyFill="1" applyBorder="1" applyAlignment="1">
      <alignment horizontal="center" vertical="center"/>
    </xf>
    <xf numFmtId="0" fontId="10" fillId="9" borderId="1" xfId="2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170" fontId="10" fillId="2" borderId="1" xfId="663" applyNumberFormat="1" applyFont="1" applyFill="1" applyBorder="1" applyAlignment="1">
      <alignment horizontal="center" vertical="center"/>
    </xf>
    <xf numFmtId="0" fontId="72" fillId="0" borderId="0" xfId="0" applyFont="1"/>
    <xf numFmtId="0" fontId="69" fillId="2" borderId="1" xfId="624" applyFont="1" applyFill="1" applyBorder="1" applyAlignment="1">
      <alignment horizontal="center" vertical="center"/>
    </xf>
    <xf numFmtId="169" fontId="7" fillId="2" borderId="1" xfId="2" applyNumberFormat="1" applyFont="1" applyFill="1" applyBorder="1" applyAlignment="1">
      <alignment horizontal="center" vertical="center" wrapText="1"/>
    </xf>
    <xf numFmtId="49" fontId="7" fillId="0" borderId="1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8" fontId="4" fillId="2" borderId="1" xfId="795" applyNumberFormat="1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9" fontId="7" fillId="2" borderId="0" xfId="796" applyFont="1" applyFill="1" applyAlignment="1">
      <alignment horizontal="center" vertical="center"/>
    </xf>
    <xf numFmtId="0" fontId="57" fillId="0" borderId="0" xfId="0" applyFont="1" applyFill="1"/>
    <xf numFmtId="0" fontId="66" fillId="3" borderId="1" xfId="2" applyFont="1" applyFill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/>
    </xf>
    <xf numFmtId="0" fontId="77" fillId="0" borderId="1" xfId="663" applyFont="1" applyBorder="1" applyAlignment="1">
      <alignment horizontal="left" vertical="center" wrapText="1"/>
    </xf>
  </cellXfs>
  <cellStyles count="797">
    <cellStyle name="          _x000d__x000a_386grabber=VGA.3GR_x000d__x000a_" xfId="6" xr:uid="{00000000-0005-0000-0000-000000000000}"/>
    <cellStyle name="_Hoja1" xfId="7" xr:uid="{00000000-0005-0000-0000-000001000000}"/>
    <cellStyle name="_Hoja1_1" xfId="8" xr:uid="{00000000-0005-0000-0000-000002000000}"/>
    <cellStyle name="_Hoja1_2" xfId="9" xr:uid="{00000000-0005-0000-0000-000003000000}"/>
    <cellStyle name="_Hoja1_3" xfId="10" xr:uid="{00000000-0005-0000-0000-000004000000}"/>
    <cellStyle name="_Hoja1_4" xfId="11" xr:uid="{00000000-0005-0000-0000-000005000000}"/>
    <cellStyle name="20% - Énfasis1 2" xfId="12" xr:uid="{00000000-0005-0000-0000-000006000000}"/>
    <cellStyle name="20% - Énfasis1 2 2" xfId="13" xr:uid="{00000000-0005-0000-0000-000007000000}"/>
    <cellStyle name="20% - Énfasis1 2 2 2" xfId="14" xr:uid="{00000000-0005-0000-0000-000008000000}"/>
    <cellStyle name="20% - Énfasis1 2 3" xfId="15" xr:uid="{00000000-0005-0000-0000-000009000000}"/>
    <cellStyle name="20% - Énfasis2 2" xfId="16" xr:uid="{00000000-0005-0000-0000-00000A000000}"/>
    <cellStyle name="20% - Énfasis2 2 2" xfId="17" xr:uid="{00000000-0005-0000-0000-00000B000000}"/>
    <cellStyle name="20% - Énfasis2 2 2 2" xfId="18" xr:uid="{00000000-0005-0000-0000-00000C000000}"/>
    <cellStyle name="20% - Énfasis2 2 3" xfId="19" xr:uid="{00000000-0005-0000-0000-00000D000000}"/>
    <cellStyle name="20% - Énfasis3 2" xfId="20" xr:uid="{00000000-0005-0000-0000-00000E000000}"/>
    <cellStyle name="20% - Énfasis3 2 2" xfId="21" xr:uid="{00000000-0005-0000-0000-00000F000000}"/>
    <cellStyle name="20% - Énfasis3 2 2 2" xfId="22" xr:uid="{00000000-0005-0000-0000-000010000000}"/>
    <cellStyle name="20% - Énfasis3 2 3" xfId="23" xr:uid="{00000000-0005-0000-0000-000011000000}"/>
    <cellStyle name="20% - Énfasis4 2" xfId="24" xr:uid="{00000000-0005-0000-0000-000012000000}"/>
    <cellStyle name="20% - Énfasis4 2 2" xfId="25" xr:uid="{00000000-0005-0000-0000-000013000000}"/>
    <cellStyle name="20% - Énfasis4 2 2 2" xfId="26" xr:uid="{00000000-0005-0000-0000-000014000000}"/>
    <cellStyle name="20% - Énfasis4 2 3" xfId="27" xr:uid="{00000000-0005-0000-0000-000015000000}"/>
    <cellStyle name="20% - Énfasis5 2" xfId="28" xr:uid="{00000000-0005-0000-0000-000016000000}"/>
    <cellStyle name="20% - Énfasis5 2 2" xfId="29" xr:uid="{00000000-0005-0000-0000-000017000000}"/>
    <cellStyle name="20% - Énfasis5 2 2 2" xfId="30" xr:uid="{00000000-0005-0000-0000-000018000000}"/>
    <cellStyle name="20% - Énfasis5 2 3" xfId="31" xr:uid="{00000000-0005-0000-0000-000019000000}"/>
    <cellStyle name="20% - Énfasis6 2" xfId="32" xr:uid="{00000000-0005-0000-0000-00001A000000}"/>
    <cellStyle name="20% - Énfasis6 2 2" xfId="33" xr:uid="{00000000-0005-0000-0000-00001B000000}"/>
    <cellStyle name="20% - Énfasis6 2 2 2" xfId="34" xr:uid="{00000000-0005-0000-0000-00001C000000}"/>
    <cellStyle name="20% - Énfasis6 2 3" xfId="35" xr:uid="{00000000-0005-0000-0000-00001D000000}"/>
    <cellStyle name="20% - 强调文字颜色 1" xfId="36" xr:uid="{00000000-0005-0000-0000-00001E000000}"/>
    <cellStyle name="20% - 强调文字颜色 1 2" xfId="37" xr:uid="{00000000-0005-0000-0000-00001F000000}"/>
    <cellStyle name="20% - 强调文字颜色 2" xfId="38" xr:uid="{00000000-0005-0000-0000-000020000000}"/>
    <cellStyle name="20% - 强调文字颜色 2 2" xfId="39" xr:uid="{00000000-0005-0000-0000-000021000000}"/>
    <cellStyle name="20% - 强调文字颜色 3" xfId="40" xr:uid="{00000000-0005-0000-0000-000022000000}"/>
    <cellStyle name="20% - 强调文字颜色 3 2" xfId="41" xr:uid="{00000000-0005-0000-0000-000023000000}"/>
    <cellStyle name="20% - 强调文字颜色 4" xfId="42" xr:uid="{00000000-0005-0000-0000-000024000000}"/>
    <cellStyle name="20% - 强调文字颜色 4 2" xfId="43" xr:uid="{00000000-0005-0000-0000-000025000000}"/>
    <cellStyle name="20% - 强调文字颜色 5" xfId="44" xr:uid="{00000000-0005-0000-0000-000026000000}"/>
    <cellStyle name="20% - 强调文字颜色 5 2" xfId="45" xr:uid="{00000000-0005-0000-0000-000027000000}"/>
    <cellStyle name="20% - 强调文字颜色 6" xfId="46" xr:uid="{00000000-0005-0000-0000-000028000000}"/>
    <cellStyle name="20% - 强调文字颜色 6 2" xfId="47" xr:uid="{00000000-0005-0000-0000-000029000000}"/>
    <cellStyle name="40% - Énfasis1 2" xfId="48" xr:uid="{00000000-0005-0000-0000-00002A000000}"/>
    <cellStyle name="40% - Énfasis1 2 2" xfId="49" xr:uid="{00000000-0005-0000-0000-00002B000000}"/>
    <cellStyle name="40% - Énfasis1 2 2 2" xfId="50" xr:uid="{00000000-0005-0000-0000-00002C000000}"/>
    <cellStyle name="40% - Énfasis1 2 3" xfId="51" xr:uid="{00000000-0005-0000-0000-00002D000000}"/>
    <cellStyle name="40% - Énfasis2 2" xfId="52" xr:uid="{00000000-0005-0000-0000-00002E000000}"/>
    <cellStyle name="40% - Énfasis2 2 2" xfId="53" xr:uid="{00000000-0005-0000-0000-00002F000000}"/>
    <cellStyle name="40% - Énfasis2 2 2 2" xfId="54" xr:uid="{00000000-0005-0000-0000-000030000000}"/>
    <cellStyle name="40% - Énfasis2 2 3" xfId="55" xr:uid="{00000000-0005-0000-0000-000031000000}"/>
    <cellStyle name="40% - Énfasis3 2" xfId="56" xr:uid="{00000000-0005-0000-0000-000032000000}"/>
    <cellStyle name="40% - Énfasis3 2 2" xfId="57" xr:uid="{00000000-0005-0000-0000-000033000000}"/>
    <cellStyle name="40% - Énfasis3 2 2 2" xfId="58" xr:uid="{00000000-0005-0000-0000-000034000000}"/>
    <cellStyle name="40% - Énfasis3 2 3" xfId="59" xr:uid="{00000000-0005-0000-0000-000035000000}"/>
    <cellStyle name="40% - Énfasis4 2" xfId="60" xr:uid="{00000000-0005-0000-0000-000036000000}"/>
    <cellStyle name="40% - Énfasis4 2 2" xfId="61" xr:uid="{00000000-0005-0000-0000-000037000000}"/>
    <cellStyle name="40% - Énfasis4 2 2 2" xfId="62" xr:uid="{00000000-0005-0000-0000-000038000000}"/>
    <cellStyle name="40% - Énfasis4 2 3" xfId="63" xr:uid="{00000000-0005-0000-0000-000039000000}"/>
    <cellStyle name="40% - Énfasis5 2" xfId="64" xr:uid="{00000000-0005-0000-0000-00003A000000}"/>
    <cellStyle name="40% - Énfasis5 2 2" xfId="65" xr:uid="{00000000-0005-0000-0000-00003B000000}"/>
    <cellStyle name="40% - Énfasis5 2 2 2" xfId="66" xr:uid="{00000000-0005-0000-0000-00003C000000}"/>
    <cellStyle name="40% - Énfasis5 2 3" xfId="67" xr:uid="{00000000-0005-0000-0000-00003D000000}"/>
    <cellStyle name="40% - Énfasis6 2" xfId="68" xr:uid="{00000000-0005-0000-0000-00003E000000}"/>
    <cellStyle name="40% - Énfasis6 2 2" xfId="69" xr:uid="{00000000-0005-0000-0000-00003F000000}"/>
    <cellStyle name="40% - Énfasis6 2 2 2" xfId="70" xr:uid="{00000000-0005-0000-0000-000040000000}"/>
    <cellStyle name="40% - Énfasis6 2 3" xfId="71" xr:uid="{00000000-0005-0000-0000-000041000000}"/>
    <cellStyle name="40% - 强调文字颜色 1" xfId="72" xr:uid="{00000000-0005-0000-0000-000042000000}"/>
    <cellStyle name="40% - 强调文字颜色 1 2" xfId="73" xr:uid="{00000000-0005-0000-0000-000043000000}"/>
    <cellStyle name="40% - 强调文字颜色 2" xfId="74" xr:uid="{00000000-0005-0000-0000-000044000000}"/>
    <cellStyle name="40% - 强调文字颜色 2 2" xfId="75" xr:uid="{00000000-0005-0000-0000-000045000000}"/>
    <cellStyle name="40% - 强调文字颜色 3" xfId="76" xr:uid="{00000000-0005-0000-0000-000046000000}"/>
    <cellStyle name="40% - 强调文字颜色 3 2" xfId="77" xr:uid="{00000000-0005-0000-0000-000047000000}"/>
    <cellStyle name="40% - 强调文字颜色 4" xfId="78" xr:uid="{00000000-0005-0000-0000-000048000000}"/>
    <cellStyle name="40% - 强调文字颜色 4 2" xfId="79" xr:uid="{00000000-0005-0000-0000-000049000000}"/>
    <cellStyle name="40% - 强调文字颜色 5" xfId="80" xr:uid="{00000000-0005-0000-0000-00004A000000}"/>
    <cellStyle name="40% - 强调文字颜色 5 2" xfId="81" xr:uid="{00000000-0005-0000-0000-00004B000000}"/>
    <cellStyle name="40% - 强调文字颜色 6" xfId="82" xr:uid="{00000000-0005-0000-0000-00004C000000}"/>
    <cellStyle name="40% - 强调文字颜色 6 2" xfId="83" xr:uid="{00000000-0005-0000-0000-00004D000000}"/>
    <cellStyle name="60% - Énfasis1 2" xfId="84" xr:uid="{00000000-0005-0000-0000-00004E000000}"/>
    <cellStyle name="60% - Énfasis1 2 2" xfId="85" xr:uid="{00000000-0005-0000-0000-00004F000000}"/>
    <cellStyle name="60% - Énfasis2 2" xfId="86" xr:uid="{00000000-0005-0000-0000-000050000000}"/>
    <cellStyle name="60% - Énfasis2 2 2" xfId="87" xr:uid="{00000000-0005-0000-0000-000051000000}"/>
    <cellStyle name="60% - Énfasis3 2" xfId="88" xr:uid="{00000000-0005-0000-0000-000052000000}"/>
    <cellStyle name="60% - Énfasis3 2 2" xfId="89" xr:uid="{00000000-0005-0000-0000-000053000000}"/>
    <cellStyle name="60% - Énfasis4 2" xfId="90" xr:uid="{00000000-0005-0000-0000-000054000000}"/>
    <cellStyle name="60% - Énfasis4 2 2" xfId="91" xr:uid="{00000000-0005-0000-0000-000055000000}"/>
    <cellStyle name="60% - Énfasis5 2" xfId="92" xr:uid="{00000000-0005-0000-0000-000056000000}"/>
    <cellStyle name="60% - Énfasis5 2 2" xfId="93" xr:uid="{00000000-0005-0000-0000-000057000000}"/>
    <cellStyle name="60% - Énfasis6 2" xfId="94" xr:uid="{00000000-0005-0000-0000-000058000000}"/>
    <cellStyle name="60% - Énfasis6 2 2" xfId="95" xr:uid="{00000000-0005-0000-0000-000059000000}"/>
    <cellStyle name="60% - 强调文字颜色 1" xfId="96" xr:uid="{00000000-0005-0000-0000-00005A000000}"/>
    <cellStyle name="60% - 强调文字颜色 1 2" xfId="97" xr:uid="{00000000-0005-0000-0000-00005B000000}"/>
    <cellStyle name="60% - 强调文字颜色 2" xfId="98" xr:uid="{00000000-0005-0000-0000-00005C000000}"/>
    <cellStyle name="60% - 强调文字颜色 2 2" xfId="99" xr:uid="{00000000-0005-0000-0000-00005D000000}"/>
    <cellStyle name="60% - 强调文字颜色 3" xfId="100" xr:uid="{00000000-0005-0000-0000-00005E000000}"/>
    <cellStyle name="60% - 强调文字颜色 3 2" xfId="101" xr:uid="{00000000-0005-0000-0000-00005F000000}"/>
    <cellStyle name="60% - 强调文字颜色 4" xfId="102" xr:uid="{00000000-0005-0000-0000-000060000000}"/>
    <cellStyle name="60% - 强调文字颜色 4 2" xfId="103" xr:uid="{00000000-0005-0000-0000-000061000000}"/>
    <cellStyle name="60% - 强调文字颜色 5" xfId="104" xr:uid="{00000000-0005-0000-0000-000062000000}"/>
    <cellStyle name="60% - 强调文字颜色 5 2" xfId="105" xr:uid="{00000000-0005-0000-0000-000063000000}"/>
    <cellStyle name="60% - 强调文字颜色 6" xfId="106" xr:uid="{00000000-0005-0000-0000-000064000000}"/>
    <cellStyle name="60% - 强调文字颜色 6 2" xfId="107" xr:uid="{00000000-0005-0000-0000-000065000000}"/>
    <cellStyle name="Buena 2" xfId="108" xr:uid="{00000000-0005-0000-0000-000066000000}"/>
    <cellStyle name="Buena 2 2" xfId="109" xr:uid="{00000000-0005-0000-0000-000067000000}"/>
    <cellStyle name="Cálculo 2" xfId="110" xr:uid="{00000000-0005-0000-0000-000068000000}"/>
    <cellStyle name="Cálculo 2 2" xfId="111" xr:uid="{00000000-0005-0000-0000-000069000000}"/>
    <cellStyle name="Cancel" xfId="112" xr:uid="{00000000-0005-0000-0000-00006A000000}"/>
    <cellStyle name="Celda de comprobación 2" xfId="113" xr:uid="{00000000-0005-0000-0000-00006B000000}"/>
    <cellStyle name="Celda de comprobación 2 2" xfId="114" xr:uid="{00000000-0005-0000-0000-00006C000000}"/>
    <cellStyle name="Celda vinculada 2" xfId="115" xr:uid="{00000000-0005-0000-0000-00006D000000}"/>
    <cellStyle name="Celda vinculada 2 2" xfId="116" xr:uid="{00000000-0005-0000-0000-00006E000000}"/>
    <cellStyle name="Encabezado 4 2" xfId="117" xr:uid="{00000000-0005-0000-0000-00006F000000}"/>
    <cellStyle name="Encabezado 4 2 2" xfId="118" xr:uid="{00000000-0005-0000-0000-000070000000}"/>
    <cellStyle name="Énfasis1 2" xfId="119" xr:uid="{00000000-0005-0000-0000-000071000000}"/>
    <cellStyle name="Énfasis1 2 2" xfId="120" xr:uid="{00000000-0005-0000-0000-000072000000}"/>
    <cellStyle name="Énfasis2 2" xfId="121" xr:uid="{00000000-0005-0000-0000-000073000000}"/>
    <cellStyle name="Énfasis2 2 2" xfId="122" xr:uid="{00000000-0005-0000-0000-000074000000}"/>
    <cellStyle name="Énfasis3 2" xfId="123" xr:uid="{00000000-0005-0000-0000-000075000000}"/>
    <cellStyle name="Énfasis3 2 2" xfId="124" xr:uid="{00000000-0005-0000-0000-000076000000}"/>
    <cellStyle name="Énfasis4 2" xfId="125" xr:uid="{00000000-0005-0000-0000-000077000000}"/>
    <cellStyle name="Énfasis4 2 2" xfId="126" xr:uid="{00000000-0005-0000-0000-000078000000}"/>
    <cellStyle name="Énfasis5 2" xfId="127" xr:uid="{00000000-0005-0000-0000-000079000000}"/>
    <cellStyle name="Énfasis5 2 2" xfId="128" xr:uid="{00000000-0005-0000-0000-00007A000000}"/>
    <cellStyle name="Énfasis6 2" xfId="129" xr:uid="{00000000-0005-0000-0000-00007B000000}"/>
    <cellStyle name="Énfasis6 2 2" xfId="130" xr:uid="{00000000-0005-0000-0000-00007C000000}"/>
    <cellStyle name="Entrada 2" xfId="131" xr:uid="{00000000-0005-0000-0000-00007D000000}"/>
    <cellStyle name="Entrada 2 2" xfId="132" xr:uid="{00000000-0005-0000-0000-00007E000000}"/>
    <cellStyle name="Estilo 1" xfId="133" xr:uid="{00000000-0005-0000-0000-00007F000000}"/>
    <cellStyle name="Euro" xfId="134" xr:uid="{00000000-0005-0000-0000-000080000000}"/>
    <cellStyle name="Euro 2" xfId="135" xr:uid="{00000000-0005-0000-0000-000081000000}"/>
    <cellStyle name="Euro 2 2" xfId="136" xr:uid="{00000000-0005-0000-0000-000082000000}"/>
    <cellStyle name="Euro 2 3" xfId="137" xr:uid="{00000000-0005-0000-0000-000083000000}"/>
    <cellStyle name="Euro 2 4" xfId="138" xr:uid="{00000000-0005-0000-0000-000084000000}"/>
    <cellStyle name="Euro 2 4 2" xfId="139" xr:uid="{00000000-0005-0000-0000-000085000000}"/>
    <cellStyle name="Euro 2 4 2 2" xfId="140" xr:uid="{00000000-0005-0000-0000-000086000000}"/>
    <cellStyle name="Euro 2 4 3" xfId="141" xr:uid="{00000000-0005-0000-0000-000087000000}"/>
    <cellStyle name="Euro 2 5" xfId="142" xr:uid="{00000000-0005-0000-0000-000088000000}"/>
    <cellStyle name="Euro 3" xfId="143" xr:uid="{00000000-0005-0000-0000-000089000000}"/>
    <cellStyle name="Euro 3 2" xfId="144" xr:uid="{00000000-0005-0000-0000-00008A000000}"/>
    <cellStyle name="Euro 3 2 2" xfId="145" xr:uid="{00000000-0005-0000-0000-00008B000000}"/>
    <cellStyle name="Euro 3 3" xfId="146" xr:uid="{00000000-0005-0000-0000-00008C000000}"/>
    <cellStyle name="Euro 4" xfId="147" xr:uid="{00000000-0005-0000-0000-00008D000000}"/>
    <cellStyle name="Euro 5" xfId="148" xr:uid="{00000000-0005-0000-0000-00008E000000}"/>
    <cellStyle name="Euro 6" xfId="149" xr:uid="{00000000-0005-0000-0000-00008F000000}"/>
    <cellStyle name="Excel Built-in Explanatory Text" xfId="150" xr:uid="{00000000-0005-0000-0000-000090000000}"/>
    <cellStyle name="Hipervínculo 2" xfId="151" xr:uid="{00000000-0005-0000-0000-000091000000}"/>
    <cellStyle name="Hipervínculo 2 2" xfId="152" xr:uid="{00000000-0005-0000-0000-000092000000}"/>
    <cellStyle name="Hipervínculo 2 2 2" xfId="153" xr:uid="{00000000-0005-0000-0000-000093000000}"/>
    <cellStyle name="Hipervínculo 2 2 2 2" xfId="154" xr:uid="{00000000-0005-0000-0000-000094000000}"/>
    <cellStyle name="Hipervínculo 2 2 2 2 2" xfId="155" xr:uid="{00000000-0005-0000-0000-000095000000}"/>
    <cellStyle name="Hipervínculo 2 2 2 2 2 2" xfId="156" xr:uid="{00000000-0005-0000-0000-000096000000}"/>
    <cellStyle name="Hipervínculo 2 2 2 2 2 3" xfId="157" xr:uid="{00000000-0005-0000-0000-000097000000}"/>
    <cellStyle name="Hipervínculo 2 2 2 2 2 4" xfId="158" xr:uid="{00000000-0005-0000-0000-000098000000}"/>
    <cellStyle name="Hipervínculo 2 2 2 2 3" xfId="159" xr:uid="{00000000-0005-0000-0000-000099000000}"/>
    <cellStyle name="Hipervínculo 2 2 2 3" xfId="160" xr:uid="{00000000-0005-0000-0000-00009A000000}"/>
    <cellStyle name="Hipervínculo 2 2 2 3 2" xfId="161" xr:uid="{00000000-0005-0000-0000-00009B000000}"/>
    <cellStyle name="Hipervínculo 2 2 2 3 3" xfId="162" xr:uid="{00000000-0005-0000-0000-00009C000000}"/>
    <cellStyle name="Hipervínculo 2 2 2 4" xfId="163" xr:uid="{00000000-0005-0000-0000-00009D000000}"/>
    <cellStyle name="Hipervínculo 2 2 3" xfId="164" xr:uid="{00000000-0005-0000-0000-00009E000000}"/>
    <cellStyle name="Hipervínculo 2 2 3 2" xfId="165" xr:uid="{00000000-0005-0000-0000-00009F000000}"/>
    <cellStyle name="Hipervínculo 2 3" xfId="166" xr:uid="{00000000-0005-0000-0000-0000A0000000}"/>
    <cellStyle name="Hipervínculo 2 3 2" xfId="167" xr:uid="{00000000-0005-0000-0000-0000A1000000}"/>
    <cellStyle name="Hipervínculo 2 3 2 2" xfId="168" xr:uid="{00000000-0005-0000-0000-0000A2000000}"/>
    <cellStyle name="Hipervínculo 2 3 2 2 2" xfId="169" xr:uid="{00000000-0005-0000-0000-0000A3000000}"/>
    <cellStyle name="Hipervínculo 2 3 2 2 3" xfId="170" xr:uid="{00000000-0005-0000-0000-0000A4000000}"/>
    <cellStyle name="Hipervínculo 2 3 2 3" xfId="171" xr:uid="{00000000-0005-0000-0000-0000A5000000}"/>
    <cellStyle name="Hipervínculo 2 3 2 4" xfId="172" xr:uid="{00000000-0005-0000-0000-0000A6000000}"/>
    <cellStyle name="Hipervínculo 2 3 3" xfId="173" xr:uid="{00000000-0005-0000-0000-0000A7000000}"/>
    <cellStyle name="Hipervínculo 2 3 3 2" xfId="174" xr:uid="{00000000-0005-0000-0000-0000A8000000}"/>
    <cellStyle name="Hipervínculo 2 4" xfId="175" xr:uid="{00000000-0005-0000-0000-0000A9000000}"/>
    <cellStyle name="Hipervínculo 2 4 2" xfId="176" xr:uid="{00000000-0005-0000-0000-0000AA000000}"/>
    <cellStyle name="Hipervínculo 2 4 3" xfId="177" xr:uid="{00000000-0005-0000-0000-0000AB000000}"/>
    <cellStyle name="Hipervínculo 2_Canguros" xfId="178" xr:uid="{00000000-0005-0000-0000-0000AC000000}"/>
    <cellStyle name="Hipervínculo 3" xfId="179" xr:uid="{00000000-0005-0000-0000-0000AD000000}"/>
    <cellStyle name="Hipervínculo 4" xfId="180" xr:uid="{00000000-0005-0000-0000-0000AE000000}"/>
    <cellStyle name="Hipervínculo 5" xfId="794" xr:uid="{04DD9887-6831-4CAF-9B1D-986CD2EDE14F}"/>
    <cellStyle name="Incorrecto 2" xfId="181" xr:uid="{00000000-0005-0000-0000-0000AF000000}"/>
    <cellStyle name="Incorrecto 2 2" xfId="182" xr:uid="{00000000-0005-0000-0000-0000B0000000}"/>
    <cellStyle name="Millares 2" xfId="183" xr:uid="{00000000-0005-0000-0000-0000B1000000}"/>
    <cellStyle name="Millares 2 2" xfId="184" xr:uid="{00000000-0005-0000-0000-0000B2000000}"/>
    <cellStyle name="Millares 2 2 10" xfId="185" xr:uid="{00000000-0005-0000-0000-0000B3000000}"/>
    <cellStyle name="Millares 2 2 10 2" xfId="186" xr:uid="{00000000-0005-0000-0000-0000B4000000}"/>
    <cellStyle name="Millares 2 2 10 2 2" xfId="788" xr:uid="{00000000-0005-0000-0000-0000B5000000}"/>
    <cellStyle name="Millares 2 2 11" xfId="187" xr:uid="{00000000-0005-0000-0000-0000B6000000}"/>
    <cellStyle name="Millares 2 2 2" xfId="188" xr:uid="{00000000-0005-0000-0000-0000B7000000}"/>
    <cellStyle name="Millares 2 2 2 2" xfId="189" xr:uid="{00000000-0005-0000-0000-0000B8000000}"/>
    <cellStyle name="Millares 2 2 2 2 2" xfId="190" xr:uid="{00000000-0005-0000-0000-0000B9000000}"/>
    <cellStyle name="Millares 2 2 2 2 2 2" xfId="191" xr:uid="{00000000-0005-0000-0000-0000BA000000}"/>
    <cellStyle name="Millares 2 2 2 2 2 2 2" xfId="192" xr:uid="{00000000-0005-0000-0000-0000BB000000}"/>
    <cellStyle name="Millares 2 2 2 2 2 2 2 2" xfId="193" xr:uid="{00000000-0005-0000-0000-0000BC000000}"/>
    <cellStyle name="Millares 2 2 2 2 2 2 3" xfId="194" xr:uid="{00000000-0005-0000-0000-0000BD000000}"/>
    <cellStyle name="Millares 2 2 2 2 2 3" xfId="195" xr:uid="{00000000-0005-0000-0000-0000BE000000}"/>
    <cellStyle name="Millares 2 2 2 2 2 3 2" xfId="196" xr:uid="{00000000-0005-0000-0000-0000BF000000}"/>
    <cellStyle name="Millares 2 2 2 2 2 4" xfId="197" xr:uid="{00000000-0005-0000-0000-0000C0000000}"/>
    <cellStyle name="Millares 2 2 2 2 3" xfId="198" xr:uid="{00000000-0005-0000-0000-0000C1000000}"/>
    <cellStyle name="Millares 2 2 2 2 3 2" xfId="199" xr:uid="{00000000-0005-0000-0000-0000C2000000}"/>
    <cellStyle name="Millares 2 2 2 2 3 2 2" xfId="200" xr:uid="{00000000-0005-0000-0000-0000C3000000}"/>
    <cellStyle name="Millares 2 2 2 2 3 2 2 2" xfId="201" xr:uid="{00000000-0005-0000-0000-0000C4000000}"/>
    <cellStyle name="Millares 2 2 2 2 3 2 3" xfId="202" xr:uid="{00000000-0005-0000-0000-0000C5000000}"/>
    <cellStyle name="Millares 2 2 2 2 3 2 4" xfId="203" xr:uid="{00000000-0005-0000-0000-0000C6000000}"/>
    <cellStyle name="Millares 2 2 2 2 3 2 4 2" xfId="204" xr:uid="{00000000-0005-0000-0000-0000C7000000}"/>
    <cellStyle name="Millares 2 2 2 2 3 3" xfId="205" xr:uid="{00000000-0005-0000-0000-0000C8000000}"/>
    <cellStyle name="Millares 2 2 2 2 3 3 2" xfId="206" xr:uid="{00000000-0005-0000-0000-0000C9000000}"/>
    <cellStyle name="Millares 2 2 2 2 4" xfId="207" xr:uid="{00000000-0005-0000-0000-0000CA000000}"/>
    <cellStyle name="Millares 2 2 2 2 4 2" xfId="208" xr:uid="{00000000-0005-0000-0000-0000CB000000}"/>
    <cellStyle name="Millares 2 2 2 2 4 2 2" xfId="209" xr:uid="{00000000-0005-0000-0000-0000CC000000}"/>
    <cellStyle name="Millares 2 2 2 2 4 3" xfId="210" xr:uid="{00000000-0005-0000-0000-0000CD000000}"/>
    <cellStyle name="Millares 2 2 2 2 5" xfId="211" xr:uid="{00000000-0005-0000-0000-0000CE000000}"/>
    <cellStyle name="Millares 2 2 2 2 5 2" xfId="212" xr:uid="{00000000-0005-0000-0000-0000CF000000}"/>
    <cellStyle name="Millares 2 2 2 2 6" xfId="213" xr:uid="{00000000-0005-0000-0000-0000D0000000}"/>
    <cellStyle name="Millares 2 2 2 2 6 2" xfId="214" xr:uid="{00000000-0005-0000-0000-0000D1000000}"/>
    <cellStyle name="Millares 2 2 2 3" xfId="215" xr:uid="{00000000-0005-0000-0000-0000D2000000}"/>
    <cellStyle name="Millares 2 2 2 3 2" xfId="216" xr:uid="{00000000-0005-0000-0000-0000D3000000}"/>
    <cellStyle name="Millares 2 2 2 3 2 2" xfId="217" xr:uid="{00000000-0005-0000-0000-0000D4000000}"/>
    <cellStyle name="Millares 2 2 2 3 2 2 2" xfId="218" xr:uid="{00000000-0005-0000-0000-0000D5000000}"/>
    <cellStyle name="Millares 2 2 2 3 2 3" xfId="219" xr:uid="{00000000-0005-0000-0000-0000D6000000}"/>
    <cellStyle name="Millares 2 2 2 3 3" xfId="220" xr:uid="{00000000-0005-0000-0000-0000D7000000}"/>
    <cellStyle name="Millares 2 2 2 3 3 2" xfId="221" xr:uid="{00000000-0005-0000-0000-0000D8000000}"/>
    <cellStyle name="Millares 2 2 2 3 3 2 2" xfId="222" xr:uid="{00000000-0005-0000-0000-0000D9000000}"/>
    <cellStyle name="Millares 2 2 2 3 3 3" xfId="223" xr:uid="{00000000-0005-0000-0000-0000DA000000}"/>
    <cellStyle name="Millares 2 2 2 3 4" xfId="224" xr:uid="{00000000-0005-0000-0000-0000DB000000}"/>
    <cellStyle name="Millares 2 2 2 3 4 2" xfId="225" xr:uid="{00000000-0005-0000-0000-0000DC000000}"/>
    <cellStyle name="Millares 2 2 2 3 5" xfId="226" xr:uid="{00000000-0005-0000-0000-0000DD000000}"/>
    <cellStyle name="Millares 2 2 2 4" xfId="227" xr:uid="{00000000-0005-0000-0000-0000DE000000}"/>
    <cellStyle name="Millares 2 2 2 4 2" xfId="228" xr:uid="{00000000-0005-0000-0000-0000DF000000}"/>
    <cellStyle name="Millares 2 2 2 4 2 2" xfId="229" xr:uid="{00000000-0005-0000-0000-0000E0000000}"/>
    <cellStyle name="Millares 2 2 2 4 3" xfId="230" xr:uid="{00000000-0005-0000-0000-0000E1000000}"/>
    <cellStyle name="Millares 2 2 2 5" xfId="231" xr:uid="{00000000-0005-0000-0000-0000E2000000}"/>
    <cellStyle name="Millares 2 2 2 5 2" xfId="232" xr:uid="{00000000-0005-0000-0000-0000E3000000}"/>
    <cellStyle name="Millares 2 2 2 5 2 2" xfId="233" xr:uid="{00000000-0005-0000-0000-0000E4000000}"/>
    <cellStyle name="Millares 2 2 2 5 3" xfId="234" xr:uid="{00000000-0005-0000-0000-0000E5000000}"/>
    <cellStyle name="Millares 2 2 2 6" xfId="235" xr:uid="{00000000-0005-0000-0000-0000E6000000}"/>
    <cellStyle name="Millares 2 2 2 6 2" xfId="236" xr:uid="{00000000-0005-0000-0000-0000E7000000}"/>
    <cellStyle name="Millares 2 2 2 7" xfId="237" xr:uid="{00000000-0005-0000-0000-0000E8000000}"/>
    <cellStyle name="Millares 2 2 2 7 2" xfId="238" xr:uid="{00000000-0005-0000-0000-0000E9000000}"/>
    <cellStyle name="Millares 2 2 2 8" xfId="239" xr:uid="{00000000-0005-0000-0000-0000EA000000}"/>
    <cellStyle name="Millares 2 2 3" xfId="240" xr:uid="{00000000-0005-0000-0000-0000EB000000}"/>
    <cellStyle name="Millares 2 2 3 2" xfId="241" xr:uid="{00000000-0005-0000-0000-0000EC000000}"/>
    <cellStyle name="Millares 2 2 3 2 2" xfId="242" xr:uid="{00000000-0005-0000-0000-0000ED000000}"/>
    <cellStyle name="Millares 2 2 3 2 2 2" xfId="243" xr:uid="{00000000-0005-0000-0000-0000EE000000}"/>
    <cellStyle name="Millares 2 2 3 2 2 2 2" xfId="244" xr:uid="{00000000-0005-0000-0000-0000EF000000}"/>
    <cellStyle name="Millares 2 2 3 2 2 2 2 2 2" xfId="245" xr:uid="{00000000-0005-0000-0000-0000F0000000}"/>
    <cellStyle name="Millares 2 2 3 2 2 2 2 2 2 2" xfId="246" xr:uid="{00000000-0005-0000-0000-0000F1000000}"/>
    <cellStyle name="Millares 2 2 3 2 2 2 2 2 2 2 2" xfId="3" xr:uid="{00000000-0005-0000-0000-0000F2000000}"/>
    <cellStyle name="Millares 2 2 3 2 2 2 2 2 3" xfId="795" xr:uid="{CD6F6767-EB66-43F2-B55D-9B3DB07B3061}"/>
    <cellStyle name="Millares 2 2 3 2 2 2 3" xfId="247" xr:uid="{00000000-0005-0000-0000-0000F3000000}"/>
    <cellStyle name="Millares 2 2 3 2 2 3" xfId="248" xr:uid="{00000000-0005-0000-0000-0000F4000000}"/>
    <cellStyle name="Millares 2 2 3 2 2 3 2" xfId="249" xr:uid="{00000000-0005-0000-0000-0000F5000000}"/>
    <cellStyle name="Millares 2 2 3 2 2 4" xfId="250" xr:uid="{00000000-0005-0000-0000-0000F6000000}"/>
    <cellStyle name="Millares 2 2 3 2 2 4 2" xfId="251" xr:uid="{00000000-0005-0000-0000-0000F7000000}"/>
    <cellStyle name="Millares 2 2 3 2 2 5" xfId="252" xr:uid="{00000000-0005-0000-0000-0000F8000000}"/>
    <cellStyle name="Millares 2 2 3 2 2 5 2" xfId="253" xr:uid="{00000000-0005-0000-0000-0000F9000000}"/>
    <cellStyle name="Millares 2 2 3 2 2 6" xfId="254" xr:uid="{00000000-0005-0000-0000-0000FA000000}"/>
    <cellStyle name="Millares 2 2 3 2 3" xfId="255" xr:uid="{00000000-0005-0000-0000-0000FB000000}"/>
    <cellStyle name="Millares 2 2 3 2 3 2" xfId="256" xr:uid="{00000000-0005-0000-0000-0000FC000000}"/>
    <cellStyle name="Millares 2 2 3 2 3 2 2" xfId="257" xr:uid="{00000000-0005-0000-0000-0000FD000000}"/>
    <cellStyle name="Millares 2 2 3 2 3 3" xfId="258" xr:uid="{00000000-0005-0000-0000-0000FE000000}"/>
    <cellStyle name="Millares 2 2 3 2 4" xfId="259" xr:uid="{00000000-0005-0000-0000-0000FF000000}"/>
    <cellStyle name="Millares 2 2 3 2 4 2" xfId="260" xr:uid="{00000000-0005-0000-0000-000000010000}"/>
    <cellStyle name="Millares 2 2 3 2 5" xfId="261" xr:uid="{00000000-0005-0000-0000-000001010000}"/>
    <cellStyle name="Millares 2 2 3 2 5 2" xfId="262" xr:uid="{00000000-0005-0000-0000-000002010000}"/>
    <cellStyle name="Millares 2 2 3 2 6" xfId="263" xr:uid="{00000000-0005-0000-0000-000003010000}"/>
    <cellStyle name="Millares 2 2 3 3" xfId="264" xr:uid="{00000000-0005-0000-0000-000004010000}"/>
    <cellStyle name="Millares 2 2 3 3 2" xfId="265" xr:uid="{00000000-0005-0000-0000-000005010000}"/>
    <cellStyle name="Millares 2 2 3 3 2 2" xfId="266" xr:uid="{00000000-0005-0000-0000-000006010000}"/>
    <cellStyle name="Millares 2 2 3 3 2 2 2" xfId="267" xr:uid="{00000000-0005-0000-0000-000007010000}"/>
    <cellStyle name="Millares 2 2 3 3 2 3" xfId="268" xr:uid="{00000000-0005-0000-0000-000008010000}"/>
    <cellStyle name="Millares 2 2 3 3 3" xfId="269" xr:uid="{00000000-0005-0000-0000-000009010000}"/>
    <cellStyle name="Millares 2 2 3 3 3 2" xfId="270" xr:uid="{00000000-0005-0000-0000-00000A010000}"/>
    <cellStyle name="Millares 2 2 3 3 3 2 2" xfId="271" xr:uid="{00000000-0005-0000-0000-00000B010000}"/>
    <cellStyle name="Millares 2 2 3 3 3 3" xfId="272" xr:uid="{00000000-0005-0000-0000-00000C010000}"/>
    <cellStyle name="Millares 2 2 3 3 4" xfId="273" xr:uid="{00000000-0005-0000-0000-00000D010000}"/>
    <cellStyle name="Millares 2 2 3 3 4 2" xfId="274" xr:uid="{00000000-0005-0000-0000-00000E010000}"/>
    <cellStyle name="Millares 2 2 3 3 5" xfId="275" xr:uid="{00000000-0005-0000-0000-00000F010000}"/>
    <cellStyle name="Millares 2 2 3 4" xfId="276" xr:uid="{00000000-0005-0000-0000-000010010000}"/>
    <cellStyle name="Millares 2 2 3 4 2" xfId="277" xr:uid="{00000000-0005-0000-0000-000011010000}"/>
    <cellStyle name="Millares 2 2 3 4 2 2" xfId="278" xr:uid="{00000000-0005-0000-0000-000012010000}"/>
    <cellStyle name="Millares 2 2 3 4 2 2 2" xfId="279" xr:uid="{00000000-0005-0000-0000-000013010000}"/>
    <cellStyle name="Millares 2 2 3 4 2 2 2 2 2" xfId="280" xr:uid="{00000000-0005-0000-0000-000014010000}"/>
    <cellStyle name="Millares 2 2 3 4 2 3" xfId="281" xr:uid="{00000000-0005-0000-0000-000015010000}"/>
    <cellStyle name="Millares 2 2 3 4 3" xfId="282" xr:uid="{00000000-0005-0000-0000-000016010000}"/>
    <cellStyle name="Millares 2 2 3 4 3 2" xfId="283" xr:uid="{00000000-0005-0000-0000-000017010000}"/>
    <cellStyle name="Millares 2 2 3 4 3 2 2" xfId="284" xr:uid="{00000000-0005-0000-0000-000018010000}"/>
    <cellStyle name="Millares 2 2 3 4 3 3" xfId="285" xr:uid="{00000000-0005-0000-0000-000019010000}"/>
    <cellStyle name="Millares 2 2 3 4 3 3 2" xfId="286" xr:uid="{00000000-0005-0000-0000-00001A010000}"/>
    <cellStyle name="Millares 2 2 3 4 3 4" xfId="287" xr:uid="{00000000-0005-0000-0000-00001B010000}"/>
    <cellStyle name="Millares 2 2 3 4 4" xfId="288" xr:uid="{00000000-0005-0000-0000-00001C010000}"/>
    <cellStyle name="Millares 2 2 3 5" xfId="289" xr:uid="{00000000-0005-0000-0000-00001D010000}"/>
    <cellStyle name="Millares 2 2 3 5 2" xfId="290" xr:uid="{00000000-0005-0000-0000-00001E010000}"/>
    <cellStyle name="Millares 2 2 3 5 2 2" xfId="291" xr:uid="{00000000-0005-0000-0000-00001F010000}"/>
    <cellStyle name="Millares 2 2 3 5 3" xfId="292" xr:uid="{00000000-0005-0000-0000-000020010000}"/>
    <cellStyle name="Millares 2 2 3 6" xfId="293" xr:uid="{00000000-0005-0000-0000-000021010000}"/>
    <cellStyle name="Millares 2 2 3 6 2" xfId="294" xr:uid="{00000000-0005-0000-0000-000022010000}"/>
    <cellStyle name="Millares 2 2 3 7" xfId="295" xr:uid="{00000000-0005-0000-0000-000023010000}"/>
    <cellStyle name="Millares 2 2 3 7 2" xfId="296" xr:uid="{00000000-0005-0000-0000-000024010000}"/>
    <cellStyle name="Millares 2 2 3 8" xfId="297" xr:uid="{00000000-0005-0000-0000-000025010000}"/>
    <cellStyle name="Millares 2 2 3 8 2" xfId="298" xr:uid="{00000000-0005-0000-0000-000026010000}"/>
    <cellStyle name="Millares 2 2 3 9" xfId="299" xr:uid="{00000000-0005-0000-0000-000027010000}"/>
    <cellStyle name="Millares 2 2 4" xfId="300" xr:uid="{00000000-0005-0000-0000-000028010000}"/>
    <cellStyle name="Millares 2 2 4 2" xfId="301" xr:uid="{00000000-0005-0000-0000-000029010000}"/>
    <cellStyle name="Millares 2 2 4 2 2" xfId="302" xr:uid="{00000000-0005-0000-0000-00002A010000}"/>
    <cellStyle name="Millares 2 2 4 2 2 2" xfId="303" xr:uid="{00000000-0005-0000-0000-00002B010000}"/>
    <cellStyle name="Millares 2 2 4 2 2 2 2" xfId="304" xr:uid="{00000000-0005-0000-0000-00002C010000}"/>
    <cellStyle name="Millares 2 2 4 2 2 3" xfId="305" xr:uid="{00000000-0005-0000-0000-00002D010000}"/>
    <cellStyle name="Millares 2 2 4 2 3" xfId="306" xr:uid="{00000000-0005-0000-0000-00002E010000}"/>
    <cellStyle name="Millares 2 2 4 2 3 2" xfId="307" xr:uid="{00000000-0005-0000-0000-00002F010000}"/>
    <cellStyle name="Millares 2 2 4 2 4" xfId="308" xr:uid="{00000000-0005-0000-0000-000030010000}"/>
    <cellStyle name="Millares 2 2 4 3" xfId="309" xr:uid="{00000000-0005-0000-0000-000031010000}"/>
    <cellStyle name="Millares 2 2 4 3 2" xfId="310" xr:uid="{00000000-0005-0000-0000-000032010000}"/>
    <cellStyle name="Millares 2 2 4 3 2 2" xfId="311" xr:uid="{00000000-0005-0000-0000-000033010000}"/>
    <cellStyle name="Millares 2 2 4 3 3" xfId="312" xr:uid="{00000000-0005-0000-0000-000034010000}"/>
    <cellStyle name="Millares 2 2 4 4" xfId="313" xr:uid="{00000000-0005-0000-0000-000035010000}"/>
    <cellStyle name="Millares 2 2 4 4 2" xfId="314" xr:uid="{00000000-0005-0000-0000-000036010000}"/>
    <cellStyle name="Millares 2 2 4 4 2 2" xfId="315" xr:uid="{00000000-0005-0000-0000-000037010000}"/>
    <cellStyle name="Millares 2 2 4 4 3" xfId="316" xr:uid="{00000000-0005-0000-0000-000038010000}"/>
    <cellStyle name="Millares 2 2 4 5" xfId="317" xr:uid="{00000000-0005-0000-0000-000039010000}"/>
    <cellStyle name="Millares 2 2 4 5 2" xfId="318" xr:uid="{00000000-0005-0000-0000-00003A010000}"/>
    <cellStyle name="Millares 2 2 4 5 2 2" xfId="319" xr:uid="{00000000-0005-0000-0000-00003B010000}"/>
    <cellStyle name="Millares 2 2 4 5 3" xfId="320" xr:uid="{00000000-0005-0000-0000-00003C010000}"/>
    <cellStyle name="Millares 2 2 4 6" xfId="321" xr:uid="{00000000-0005-0000-0000-00003D010000}"/>
    <cellStyle name="Millares 2 2 4 6 2" xfId="322" xr:uid="{00000000-0005-0000-0000-00003E010000}"/>
    <cellStyle name="Millares 2 2 4 7" xfId="323" xr:uid="{00000000-0005-0000-0000-00003F010000}"/>
    <cellStyle name="Millares 2 2 4 7 2" xfId="324" xr:uid="{00000000-0005-0000-0000-000040010000}"/>
    <cellStyle name="Millares 2 2 4 7 2 2" xfId="325" xr:uid="{00000000-0005-0000-0000-000041010000}"/>
    <cellStyle name="Millares 2 2 4 7 3" xfId="326" xr:uid="{00000000-0005-0000-0000-000042010000}"/>
    <cellStyle name="Millares 2 2 4 8" xfId="327" xr:uid="{00000000-0005-0000-0000-000043010000}"/>
    <cellStyle name="Millares 2 2 4 8 2" xfId="328" xr:uid="{00000000-0005-0000-0000-000044010000}"/>
    <cellStyle name="Millares 2 2 4 9" xfId="329" xr:uid="{00000000-0005-0000-0000-000045010000}"/>
    <cellStyle name="Millares 2 2 5" xfId="330" xr:uid="{00000000-0005-0000-0000-000046010000}"/>
    <cellStyle name="Millares 2 2 5 2" xfId="331" xr:uid="{00000000-0005-0000-0000-000047010000}"/>
    <cellStyle name="Millares 2 2 5 2 2" xfId="332" xr:uid="{00000000-0005-0000-0000-000048010000}"/>
    <cellStyle name="Millares 2 2 5 2 2 2" xfId="333" xr:uid="{00000000-0005-0000-0000-000049010000}"/>
    <cellStyle name="Millares 2 2 5 2 3" xfId="334" xr:uid="{00000000-0005-0000-0000-00004A010000}"/>
    <cellStyle name="Millares 2 2 5 3" xfId="335" xr:uid="{00000000-0005-0000-0000-00004B010000}"/>
    <cellStyle name="Millares 2 2 5 3 2" xfId="336" xr:uid="{00000000-0005-0000-0000-00004C010000}"/>
    <cellStyle name="Millares 2 2 5 3 2 2" xfId="337" xr:uid="{00000000-0005-0000-0000-00004D010000}"/>
    <cellStyle name="Millares 2 2 5 3 3" xfId="338" xr:uid="{00000000-0005-0000-0000-00004E010000}"/>
    <cellStyle name="Millares 2 2 5 4" xfId="339" xr:uid="{00000000-0005-0000-0000-00004F010000}"/>
    <cellStyle name="Millares 2 2 5 4 2" xfId="340" xr:uid="{00000000-0005-0000-0000-000050010000}"/>
    <cellStyle name="Millares 2 2 5 4 2 2" xfId="341" xr:uid="{00000000-0005-0000-0000-000051010000}"/>
    <cellStyle name="Millares 2 2 5 4 3" xfId="342" xr:uid="{00000000-0005-0000-0000-000052010000}"/>
    <cellStyle name="Millares 2 2 5 5" xfId="343" xr:uid="{00000000-0005-0000-0000-000053010000}"/>
    <cellStyle name="Millares 2 2 5 5 2" xfId="344" xr:uid="{00000000-0005-0000-0000-000054010000}"/>
    <cellStyle name="Millares 2 2 5 6" xfId="345" xr:uid="{00000000-0005-0000-0000-000055010000}"/>
    <cellStyle name="Millares 2 2 5 7" xfId="346" xr:uid="{00000000-0005-0000-0000-000056010000}"/>
    <cellStyle name="Millares 2 2 6" xfId="347" xr:uid="{00000000-0005-0000-0000-000057010000}"/>
    <cellStyle name="Millares 2 2 6 2" xfId="348" xr:uid="{00000000-0005-0000-0000-000058010000}"/>
    <cellStyle name="Millares 2 2 6 2 2" xfId="349" xr:uid="{00000000-0005-0000-0000-000059010000}"/>
    <cellStyle name="Millares 2 2 6 2 2 2" xfId="350" xr:uid="{00000000-0005-0000-0000-00005A010000}"/>
    <cellStyle name="Millares 2 2 6 2 3" xfId="351" xr:uid="{00000000-0005-0000-0000-00005B010000}"/>
    <cellStyle name="Millares 2 2 6 3" xfId="352" xr:uid="{00000000-0005-0000-0000-00005C010000}"/>
    <cellStyle name="Millares 2 2 6 3 2" xfId="353" xr:uid="{00000000-0005-0000-0000-00005D010000}"/>
    <cellStyle name="Millares 2 2 6 3 2 2" xfId="354" xr:uid="{00000000-0005-0000-0000-00005E010000}"/>
    <cellStyle name="Millares 2 2 6 3 3" xfId="355" xr:uid="{00000000-0005-0000-0000-00005F010000}"/>
    <cellStyle name="Millares 2 2 6 4" xfId="356" xr:uid="{00000000-0005-0000-0000-000060010000}"/>
    <cellStyle name="Millares 2 2 6 4 2" xfId="357" xr:uid="{00000000-0005-0000-0000-000061010000}"/>
    <cellStyle name="Millares 2 2 6 5" xfId="358" xr:uid="{00000000-0005-0000-0000-000062010000}"/>
    <cellStyle name="Millares 2 2 6 5 2" xfId="359" xr:uid="{00000000-0005-0000-0000-000063010000}"/>
    <cellStyle name="Millares 2 2 6 6" xfId="360" xr:uid="{00000000-0005-0000-0000-000064010000}"/>
    <cellStyle name="Millares 2 2 7" xfId="361" xr:uid="{00000000-0005-0000-0000-000065010000}"/>
    <cellStyle name="Millares 2 2 7 2" xfId="362" xr:uid="{00000000-0005-0000-0000-000066010000}"/>
    <cellStyle name="Millares 2 2 7 2 2" xfId="363" xr:uid="{00000000-0005-0000-0000-000067010000}"/>
    <cellStyle name="Millares 2 2 7 2 2 2" xfId="364" xr:uid="{00000000-0005-0000-0000-000068010000}"/>
    <cellStyle name="Millares 2 2 7 2 3" xfId="365" xr:uid="{00000000-0005-0000-0000-000069010000}"/>
    <cellStyle name="Millares 2 2 7 3" xfId="366" xr:uid="{00000000-0005-0000-0000-00006A010000}"/>
    <cellStyle name="Millares 2 2 7 3 2" xfId="367" xr:uid="{00000000-0005-0000-0000-00006B010000}"/>
    <cellStyle name="Millares 2 2 7 3 2 2" xfId="368" xr:uid="{00000000-0005-0000-0000-00006C010000}"/>
    <cellStyle name="Millares 2 2 7 3 3" xfId="369" xr:uid="{00000000-0005-0000-0000-00006D010000}"/>
    <cellStyle name="Millares 2 2 7 3 3 2" xfId="370" xr:uid="{00000000-0005-0000-0000-00006E010000}"/>
    <cellStyle name="Millares 2 2 7 3 4" xfId="371" xr:uid="{00000000-0005-0000-0000-00006F010000}"/>
    <cellStyle name="Millares 2 2 7 4" xfId="372" xr:uid="{00000000-0005-0000-0000-000070010000}"/>
    <cellStyle name="Millares 2 2 8" xfId="373" xr:uid="{00000000-0005-0000-0000-000071010000}"/>
    <cellStyle name="Millares 2 2 8 2" xfId="374" xr:uid="{00000000-0005-0000-0000-000072010000}"/>
    <cellStyle name="Millares 2 2 8 2 2" xfId="375" xr:uid="{00000000-0005-0000-0000-000073010000}"/>
    <cellStyle name="Millares 2 2 8 2 2 2" xfId="376" xr:uid="{00000000-0005-0000-0000-000074010000}"/>
    <cellStyle name="Millares 2 2 8 2 3" xfId="377" xr:uid="{00000000-0005-0000-0000-000075010000}"/>
    <cellStyle name="Millares 2 2 8 3" xfId="378" xr:uid="{00000000-0005-0000-0000-000076010000}"/>
    <cellStyle name="Millares 2 2 8 3 2" xfId="379" xr:uid="{00000000-0005-0000-0000-000077010000}"/>
    <cellStyle name="Millares 2 2 8 4" xfId="380" xr:uid="{00000000-0005-0000-0000-000078010000}"/>
    <cellStyle name="Millares 2 2 9" xfId="381" xr:uid="{00000000-0005-0000-0000-000079010000}"/>
    <cellStyle name="Millares 2 2 9 2" xfId="382" xr:uid="{00000000-0005-0000-0000-00007A010000}"/>
    <cellStyle name="Millares 2 2_13.02 (2)" xfId="383" xr:uid="{00000000-0005-0000-0000-00007B010000}"/>
    <cellStyle name="Millares 2 3" xfId="384" xr:uid="{00000000-0005-0000-0000-00007C010000}"/>
    <cellStyle name="Millares 2 3 2" xfId="385" xr:uid="{00000000-0005-0000-0000-00007D010000}"/>
    <cellStyle name="Millares 2 3 2 2" xfId="386" xr:uid="{00000000-0005-0000-0000-00007E010000}"/>
    <cellStyle name="Millares 2 3 2 2 2" xfId="387" xr:uid="{00000000-0005-0000-0000-00007F010000}"/>
    <cellStyle name="Millares 2 3 2 2 2 2" xfId="388" xr:uid="{00000000-0005-0000-0000-000080010000}"/>
    <cellStyle name="Millares 2 3 2 2 2 2 2" xfId="389" xr:uid="{00000000-0005-0000-0000-000081010000}"/>
    <cellStyle name="Millares 2 3 2 2 2 2 2 2" xfId="390" xr:uid="{00000000-0005-0000-0000-000082010000}"/>
    <cellStyle name="Millares 2 3 2 2 2 2 3" xfId="391" xr:uid="{00000000-0005-0000-0000-000083010000}"/>
    <cellStyle name="Millares 2 3 2 2 2 3" xfId="392" xr:uid="{00000000-0005-0000-0000-000084010000}"/>
    <cellStyle name="Millares 2 3 2 2 2 3 2" xfId="393" xr:uid="{00000000-0005-0000-0000-000085010000}"/>
    <cellStyle name="Millares 2 3 2 2 2 4" xfId="394" xr:uid="{00000000-0005-0000-0000-000086010000}"/>
    <cellStyle name="Millares 2 3 2 2 3" xfId="395" xr:uid="{00000000-0005-0000-0000-000087010000}"/>
    <cellStyle name="Millares 2 3 2 2 3 2" xfId="396" xr:uid="{00000000-0005-0000-0000-000088010000}"/>
    <cellStyle name="Millares 2 3 2 2 3 2 2" xfId="397" xr:uid="{00000000-0005-0000-0000-000089010000}"/>
    <cellStyle name="Millares 2 3 2 2 3 3" xfId="398" xr:uid="{00000000-0005-0000-0000-00008A010000}"/>
    <cellStyle name="Millares 2 3 2 2 4" xfId="399" xr:uid="{00000000-0005-0000-0000-00008B010000}"/>
    <cellStyle name="Millares 2 3 2 2 4 2" xfId="400" xr:uid="{00000000-0005-0000-0000-00008C010000}"/>
    <cellStyle name="Millares 2 3 2 2 5" xfId="401" xr:uid="{00000000-0005-0000-0000-00008D010000}"/>
    <cellStyle name="Millares 2 3 2 2 5 2" xfId="402" xr:uid="{00000000-0005-0000-0000-00008E010000}"/>
    <cellStyle name="Millares 2 3 2 2 6" xfId="403" xr:uid="{00000000-0005-0000-0000-00008F010000}"/>
    <cellStyle name="Millares 2 3 2 3" xfId="404" xr:uid="{00000000-0005-0000-0000-000090010000}"/>
    <cellStyle name="Millares 2 3 2 3 2" xfId="405" xr:uid="{00000000-0005-0000-0000-000091010000}"/>
    <cellStyle name="Millares 2 3 2 3 2 2" xfId="406" xr:uid="{00000000-0005-0000-0000-000092010000}"/>
    <cellStyle name="Millares 2 3 2 3 2 2 2" xfId="407" xr:uid="{00000000-0005-0000-0000-000093010000}"/>
    <cellStyle name="Millares 2 3 2 3 2 3" xfId="408" xr:uid="{00000000-0005-0000-0000-000094010000}"/>
    <cellStyle name="Millares 2 3 2 3 3" xfId="409" xr:uid="{00000000-0005-0000-0000-000095010000}"/>
    <cellStyle name="Millares 2 3 2 3 3 2" xfId="410" xr:uid="{00000000-0005-0000-0000-000096010000}"/>
    <cellStyle name="Millares 2 3 2 3 3 2 2" xfId="411" xr:uid="{00000000-0005-0000-0000-000097010000}"/>
    <cellStyle name="Millares 2 3 2 3 3 3" xfId="412" xr:uid="{00000000-0005-0000-0000-000098010000}"/>
    <cellStyle name="Millares 2 3 2 3 4" xfId="413" xr:uid="{00000000-0005-0000-0000-000099010000}"/>
    <cellStyle name="Millares 2 3 2 3 4 2" xfId="414" xr:uid="{00000000-0005-0000-0000-00009A010000}"/>
    <cellStyle name="Millares 2 3 2 3 5" xfId="415" xr:uid="{00000000-0005-0000-0000-00009B010000}"/>
    <cellStyle name="Millares 2 3 2 4" xfId="416" xr:uid="{00000000-0005-0000-0000-00009C010000}"/>
    <cellStyle name="Millares 2 3 2 4 2" xfId="417" xr:uid="{00000000-0005-0000-0000-00009D010000}"/>
    <cellStyle name="Millares 2 3 2 4 2 2" xfId="418" xr:uid="{00000000-0005-0000-0000-00009E010000}"/>
    <cellStyle name="Millares 2 3 2 4 3" xfId="419" xr:uid="{00000000-0005-0000-0000-00009F010000}"/>
    <cellStyle name="Millares 2 3 2 5" xfId="420" xr:uid="{00000000-0005-0000-0000-0000A0010000}"/>
    <cellStyle name="Millares 2 3 2 5 2" xfId="421" xr:uid="{00000000-0005-0000-0000-0000A1010000}"/>
    <cellStyle name="Millares 2 3 2 5 2 2" xfId="422" xr:uid="{00000000-0005-0000-0000-0000A2010000}"/>
    <cellStyle name="Millares 2 3 2 5 3" xfId="423" xr:uid="{00000000-0005-0000-0000-0000A3010000}"/>
    <cellStyle name="Millares 2 3 2 6" xfId="424" xr:uid="{00000000-0005-0000-0000-0000A4010000}"/>
    <cellStyle name="Millares 2 3 2 6 2" xfId="425" xr:uid="{00000000-0005-0000-0000-0000A5010000}"/>
    <cellStyle name="Millares 2 3 2 7" xfId="426" xr:uid="{00000000-0005-0000-0000-0000A6010000}"/>
    <cellStyle name="Millares 2 3 2 7 2" xfId="427" xr:uid="{00000000-0005-0000-0000-0000A7010000}"/>
    <cellStyle name="Millares 2 3 2 8" xfId="428" xr:uid="{00000000-0005-0000-0000-0000A8010000}"/>
    <cellStyle name="Millares 2 3 3" xfId="429" xr:uid="{00000000-0005-0000-0000-0000A9010000}"/>
    <cellStyle name="Millares 2 3 3 2" xfId="430" xr:uid="{00000000-0005-0000-0000-0000AA010000}"/>
    <cellStyle name="Millares 2 3 3 2 2" xfId="431" xr:uid="{00000000-0005-0000-0000-0000AB010000}"/>
    <cellStyle name="Millares 2 3 3 2 2 2" xfId="432" xr:uid="{00000000-0005-0000-0000-0000AC010000}"/>
    <cellStyle name="Millares 2 3 3 2 2 2 2" xfId="433" xr:uid="{00000000-0005-0000-0000-0000AD010000}"/>
    <cellStyle name="Millares 2 3 3 2 2 3" xfId="434" xr:uid="{00000000-0005-0000-0000-0000AE010000}"/>
    <cellStyle name="Millares 2 3 3 2 3" xfId="435" xr:uid="{00000000-0005-0000-0000-0000AF010000}"/>
    <cellStyle name="Millares 2 3 3 2 3 2" xfId="436" xr:uid="{00000000-0005-0000-0000-0000B0010000}"/>
    <cellStyle name="Millares 2 3 3 2 4" xfId="437" xr:uid="{00000000-0005-0000-0000-0000B1010000}"/>
    <cellStyle name="Millares 2 3 3 3" xfId="438" xr:uid="{00000000-0005-0000-0000-0000B2010000}"/>
    <cellStyle name="Millares 2 3 3 3 2" xfId="439" xr:uid="{00000000-0005-0000-0000-0000B3010000}"/>
    <cellStyle name="Millares 2 3 3 3 2 2" xfId="440" xr:uid="{00000000-0005-0000-0000-0000B4010000}"/>
    <cellStyle name="Millares 2 3 3 3 2 2 2" xfId="441" xr:uid="{00000000-0005-0000-0000-0000B5010000}"/>
    <cellStyle name="Millares 2 3 3 3 2 3" xfId="442" xr:uid="{00000000-0005-0000-0000-0000B6010000}"/>
    <cellStyle name="Millares 2 3 3 3 2 4" xfId="443" xr:uid="{00000000-0005-0000-0000-0000B7010000}"/>
    <cellStyle name="Millares 2 3 3 3 2 4 2" xfId="444" xr:uid="{00000000-0005-0000-0000-0000B8010000}"/>
    <cellStyle name="Millares 2 3 3 3 3" xfId="445" xr:uid="{00000000-0005-0000-0000-0000B9010000}"/>
    <cellStyle name="Millares 2 3 3 3 3 2" xfId="446" xr:uid="{00000000-0005-0000-0000-0000BA010000}"/>
    <cellStyle name="Millares 2 3 3 4" xfId="447" xr:uid="{00000000-0005-0000-0000-0000BB010000}"/>
    <cellStyle name="Millares 2 3 3 4 2" xfId="448" xr:uid="{00000000-0005-0000-0000-0000BC010000}"/>
    <cellStyle name="Millares 2 3 3 4 2 2" xfId="449" xr:uid="{00000000-0005-0000-0000-0000BD010000}"/>
    <cellStyle name="Millares 2 3 3 4 3" xfId="450" xr:uid="{00000000-0005-0000-0000-0000BE010000}"/>
    <cellStyle name="Millares 2 3 3 5" xfId="451" xr:uid="{00000000-0005-0000-0000-0000BF010000}"/>
    <cellStyle name="Millares 2 3 3 5 2" xfId="452" xr:uid="{00000000-0005-0000-0000-0000C0010000}"/>
    <cellStyle name="Millares 2 3 3 5 2 2" xfId="453" xr:uid="{00000000-0005-0000-0000-0000C1010000}"/>
    <cellStyle name="Millares 2 3 3 5 3" xfId="454" xr:uid="{00000000-0005-0000-0000-0000C2010000}"/>
    <cellStyle name="Millares 2 3 3 6" xfId="455" xr:uid="{00000000-0005-0000-0000-0000C3010000}"/>
    <cellStyle name="Millares 2 3 3 6 2" xfId="456" xr:uid="{00000000-0005-0000-0000-0000C4010000}"/>
    <cellStyle name="Millares 2 3 3 7" xfId="457" xr:uid="{00000000-0005-0000-0000-0000C5010000}"/>
    <cellStyle name="Millares 2 3 3 7 2" xfId="458" xr:uid="{00000000-0005-0000-0000-0000C6010000}"/>
    <cellStyle name="Millares 2 3 3 7 2 2" xfId="459" xr:uid="{00000000-0005-0000-0000-0000C7010000}"/>
    <cellStyle name="Millares 2 3 3 7 3" xfId="460" xr:uid="{00000000-0005-0000-0000-0000C8010000}"/>
    <cellStyle name="Millares 2 3 3 8" xfId="461" xr:uid="{00000000-0005-0000-0000-0000C9010000}"/>
    <cellStyle name="Millares 2 3 3 8 2" xfId="462" xr:uid="{00000000-0005-0000-0000-0000CA010000}"/>
    <cellStyle name="Millares 2 3 4" xfId="463" xr:uid="{00000000-0005-0000-0000-0000CB010000}"/>
    <cellStyle name="Millares 2 3 4 2" xfId="464" xr:uid="{00000000-0005-0000-0000-0000CC010000}"/>
    <cellStyle name="Millares 2 3 4 2 2" xfId="465" xr:uid="{00000000-0005-0000-0000-0000CD010000}"/>
    <cellStyle name="Millares 2 3 4 2 2 2" xfId="466" xr:uid="{00000000-0005-0000-0000-0000CE010000}"/>
    <cellStyle name="Millares 2 3 4 2 3" xfId="467" xr:uid="{00000000-0005-0000-0000-0000CF010000}"/>
    <cellStyle name="Millares 2 3 4 3" xfId="468" xr:uid="{00000000-0005-0000-0000-0000D0010000}"/>
    <cellStyle name="Millares 2 3 4 3 2" xfId="469" xr:uid="{00000000-0005-0000-0000-0000D1010000}"/>
    <cellStyle name="Millares 2 3 4 3 2 2" xfId="470" xr:uid="{00000000-0005-0000-0000-0000D2010000}"/>
    <cellStyle name="Millares 2 3 4 3 3" xfId="471" xr:uid="{00000000-0005-0000-0000-0000D3010000}"/>
    <cellStyle name="Millares 2 3 4 4" xfId="472" xr:uid="{00000000-0005-0000-0000-0000D4010000}"/>
    <cellStyle name="Millares 2 3 4 4 2" xfId="473" xr:uid="{00000000-0005-0000-0000-0000D5010000}"/>
    <cellStyle name="Millares 2 3 4 5" xfId="474" xr:uid="{00000000-0005-0000-0000-0000D6010000}"/>
    <cellStyle name="Millares 2 3 5" xfId="475" xr:uid="{00000000-0005-0000-0000-0000D7010000}"/>
    <cellStyle name="Millares 2 3 5 2" xfId="476" xr:uid="{00000000-0005-0000-0000-0000D8010000}"/>
    <cellStyle name="Millares 2 3 5 2 2" xfId="477" xr:uid="{00000000-0005-0000-0000-0000D9010000}"/>
    <cellStyle name="Millares 2 3 5 2 2 2" xfId="478" xr:uid="{00000000-0005-0000-0000-0000DA010000}"/>
    <cellStyle name="Millares 2 3 5 2 3" xfId="479" xr:uid="{00000000-0005-0000-0000-0000DB010000}"/>
    <cellStyle name="Millares 2 3 5 3" xfId="480" xr:uid="{00000000-0005-0000-0000-0000DC010000}"/>
    <cellStyle name="Millares 2 3 5 3 2" xfId="481" xr:uid="{00000000-0005-0000-0000-0000DD010000}"/>
    <cellStyle name="Millares 2 3 5 4" xfId="482" xr:uid="{00000000-0005-0000-0000-0000DE010000}"/>
    <cellStyle name="Millares 2 3 6" xfId="483" xr:uid="{00000000-0005-0000-0000-0000DF010000}"/>
    <cellStyle name="Millares 2 3 6 2" xfId="484" xr:uid="{00000000-0005-0000-0000-0000E0010000}"/>
    <cellStyle name="Millares 2 3 6 2 2" xfId="485" xr:uid="{00000000-0005-0000-0000-0000E1010000}"/>
    <cellStyle name="Millares 2 3 6 2 2 2" xfId="486" xr:uid="{00000000-0005-0000-0000-0000E2010000}"/>
    <cellStyle name="Millares 2 3 6 2 3" xfId="487" xr:uid="{00000000-0005-0000-0000-0000E3010000}"/>
    <cellStyle name="Millares 2 3 6 3" xfId="488" xr:uid="{00000000-0005-0000-0000-0000E4010000}"/>
    <cellStyle name="Millares 2 3 6 3 2" xfId="489" xr:uid="{00000000-0005-0000-0000-0000E5010000}"/>
    <cellStyle name="Millares 2 3 6 3 2 2" xfId="490" xr:uid="{00000000-0005-0000-0000-0000E6010000}"/>
    <cellStyle name="Millares 2 3 6 3 3" xfId="491" xr:uid="{00000000-0005-0000-0000-0000E7010000}"/>
    <cellStyle name="Millares 2 3 6 3 3 2" xfId="492" xr:uid="{00000000-0005-0000-0000-0000E8010000}"/>
    <cellStyle name="Millares 2 3 6 3 4" xfId="493" xr:uid="{00000000-0005-0000-0000-0000E9010000}"/>
    <cellStyle name="Millares 2 3 6 4" xfId="494" xr:uid="{00000000-0005-0000-0000-0000EA010000}"/>
    <cellStyle name="Millares 2 3 7" xfId="495" xr:uid="{00000000-0005-0000-0000-0000EB010000}"/>
    <cellStyle name="Millares 2 3 7 2" xfId="496" xr:uid="{00000000-0005-0000-0000-0000EC010000}"/>
    <cellStyle name="Millares 2 3 8" xfId="497" xr:uid="{00000000-0005-0000-0000-0000ED010000}"/>
    <cellStyle name="Millares 2 3 8 2" xfId="498" xr:uid="{00000000-0005-0000-0000-0000EE010000}"/>
    <cellStyle name="Millares 2 3 9" xfId="499" xr:uid="{00000000-0005-0000-0000-0000EF010000}"/>
    <cellStyle name="Millares 2 3_13.02 (2)" xfId="500" xr:uid="{00000000-0005-0000-0000-0000F0010000}"/>
    <cellStyle name="Millares 2 4" xfId="501" xr:uid="{00000000-0005-0000-0000-0000F1010000}"/>
    <cellStyle name="Millares 2 4 2" xfId="502" xr:uid="{00000000-0005-0000-0000-0000F2010000}"/>
    <cellStyle name="Millares 2 4 2 2" xfId="503" xr:uid="{00000000-0005-0000-0000-0000F3010000}"/>
    <cellStyle name="Millares 2 4 2 2 2" xfId="504" xr:uid="{00000000-0005-0000-0000-0000F4010000}"/>
    <cellStyle name="Millares 2 4 2 3" xfId="505" xr:uid="{00000000-0005-0000-0000-0000F5010000}"/>
    <cellStyle name="Millares 2 4 3" xfId="506" xr:uid="{00000000-0005-0000-0000-0000F6010000}"/>
    <cellStyle name="Millares 2 4 3 2" xfId="507" xr:uid="{00000000-0005-0000-0000-0000F7010000}"/>
    <cellStyle name="Millares 2 4 3 3" xfId="508" xr:uid="{00000000-0005-0000-0000-0000F8010000}"/>
    <cellStyle name="Millares 2 4 3 4" xfId="509" xr:uid="{00000000-0005-0000-0000-0000F9010000}"/>
    <cellStyle name="Millares 2 4 4" xfId="510" xr:uid="{00000000-0005-0000-0000-0000FA010000}"/>
    <cellStyle name="Millares 2 5" xfId="511" xr:uid="{00000000-0005-0000-0000-0000FB010000}"/>
    <cellStyle name="Millares 3" xfId="512" xr:uid="{00000000-0005-0000-0000-0000FC010000}"/>
    <cellStyle name="Millares 3 2" xfId="513" xr:uid="{00000000-0005-0000-0000-0000FD010000}"/>
    <cellStyle name="Millares 3 2 2" xfId="514" xr:uid="{00000000-0005-0000-0000-0000FE010000}"/>
    <cellStyle name="Millares 3 2 2 2" xfId="515" xr:uid="{00000000-0005-0000-0000-0000FF010000}"/>
    <cellStyle name="Millares 3 2 2 2 2" xfId="516" xr:uid="{00000000-0005-0000-0000-000000020000}"/>
    <cellStyle name="Millares 3 2 2 2 2 2" xfId="517" xr:uid="{00000000-0005-0000-0000-000001020000}"/>
    <cellStyle name="Millares 3 2 2 2 3" xfId="518" xr:uid="{00000000-0005-0000-0000-000002020000}"/>
    <cellStyle name="Millares 3 2 3" xfId="519" xr:uid="{00000000-0005-0000-0000-000003020000}"/>
    <cellStyle name="Millares 3 2 3 2" xfId="520" xr:uid="{00000000-0005-0000-0000-000004020000}"/>
    <cellStyle name="Millares 3 2 4" xfId="521" xr:uid="{00000000-0005-0000-0000-000005020000}"/>
    <cellStyle name="Millares 3 3" xfId="522" xr:uid="{00000000-0005-0000-0000-000006020000}"/>
    <cellStyle name="Millares 3 3 2" xfId="523" xr:uid="{00000000-0005-0000-0000-000007020000}"/>
    <cellStyle name="Millares 3 3 2 2" xfId="524" xr:uid="{00000000-0005-0000-0000-000008020000}"/>
    <cellStyle name="Millares 3 3 3" xfId="525" xr:uid="{00000000-0005-0000-0000-000009020000}"/>
    <cellStyle name="Millares 3 4" xfId="526" xr:uid="{00000000-0005-0000-0000-00000A020000}"/>
    <cellStyle name="Millares 4" xfId="527" xr:uid="{00000000-0005-0000-0000-00000B020000}"/>
    <cellStyle name="Millares 4 2" xfId="528" xr:uid="{00000000-0005-0000-0000-00000C020000}"/>
    <cellStyle name="Millares 4 2 2" xfId="529" xr:uid="{00000000-0005-0000-0000-00000D020000}"/>
    <cellStyle name="Millares 4 3" xfId="530" xr:uid="{00000000-0005-0000-0000-00000E020000}"/>
    <cellStyle name="Millares 4 4" xfId="531" xr:uid="{00000000-0005-0000-0000-00000F020000}"/>
    <cellStyle name="Millares 5" xfId="532" xr:uid="{00000000-0005-0000-0000-000010020000}"/>
    <cellStyle name="Millares 5 2" xfId="533" xr:uid="{00000000-0005-0000-0000-000011020000}"/>
    <cellStyle name="Millares 5 2 2" xfId="534" xr:uid="{00000000-0005-0000-0000-000012020000}"/>
    <cellStyle name="Millares 5 2 2 2" xfId="535" xr:uid="{00000000-0005-0000-0000-000013020000}"/>
    <cellStyle name="Millares 5 2 3" xfId="536" xr:uid="{00000000-0005-0000-0000-000014020000}"/>
    <cellStyle name="Millares 6" xfId="791" xr:uid="{19947A3C-A3A1-485F-B8F1-73532AA31FC0}"/>
    <cellStyle name="Millares 7" xfId="793" xr:uid="{F0682055-ED10-41E5-95D3-36E51EB1C647}"/>
    <cellStyle name="Moneda 2" xfId="537" xr:uid="{00000000-0005-0000-0000-000015020000}"/>
    <cellStyle name="Moneda 2 2" xfId="538" xr:uid="{00000000-0005-0000-0000-000016020000}"/>
    <cellStyle name="Moneda 2 3" xfId="790" xr:uid="{023C77B2-8AA1-45EF-93E8-23E67BC7014A}"/>
    <cellStyle name="Moneda 3" xfId="539" xr:uid="{00000000-0005-0000-0000-000017020000}"/>
    <cellStyle name="Moneda 3 2" xfId="540" xr:uid="{00000000-0005-0000-0000-000018020000}"/>
    <cellStyle name="Moneda 3 2 2" xfId="541" xr:uid="{00000000-0005-0000-0000-000019020000}"/>
    <cellStyle name="Moneda 3 2 2 2" xfId="542" xr:uid="{00000000-0005-0000-0000-00001A020000}"/>
    <cellStyle name="Moneda 3 2 2 2 2" xfId="543" xr:uid="{00000000-0005-0000-0000-00001B020000}"/>
    <cellStyle name="Moneda 3 2 2 2 2 2" xfId="544" xr:uid="{00000000-0005-0000-0000-00001C020000}"/>
    <cellStyle name="Moneda 3 2 2 2 3" xfId="545" xr:uid="{00000000-0005-0000-0000-00001D020000}"/>
    <cellStyle name="Moneda 3 2 2 3" xfId="546" xr:uid="{00000000-0005-0000-0000-00001E020000}"/>
    <cellStyle name="Moneda 3 2 2 3 2" xfId="547" xr:uid="{00000000-0005-0000-0000-00001F020000}"/>
    <cellStyle name="Moneda 3 2 2 4" xfId="548" xr:uid="{00000000-0005-0000-0000-000020020000}"/>
    <cellStyle name="Moneda 3 2 3" xfId="549" xr:uid="{00000000-0005-0000-0000-000021020000}"/>
    <cellStyle name="Moneda 3 2 3 2" xfId="550" xr:uid="{00000000-0005-0000-0000-000022020000}"/>
    <cellStyle name="Moneda 3 2 3 2 2" xfId="551" xr:uid="{00000000-0005-0000-0000-000023020000}"/>
    <cellStyle name="Moneda 3 2 3 2 2 2" xfId="552" xr:uid="{00000000-0005-0000-0000-000024020000}"/>
    <cellStyle name="Moneda 3 2 3 2 3" xfId="553" xr:uid="{00000000-0005-0000-0000-000025020000}"/>
    <cellStyle name="Moneda 3 2 3 2 4" xfId="554" xr:uid="{00000000-0005-0000-0000-000026020000}"/>
    <cellStyle name="Moneda 3 2 3 2 4 2" xfId="555" xr:uid="{00000000-0005-0000-0000-000027020000}"/>
    <cellStyle name="Moneda 3 2 3 3" xfId="556" xr:uid="{00000000-0005-0000-0000-000028020000}"/>
    <cellStyle name="Moneda 3 2 3 3 2" xfId="557" xr:uid="{00000000-0005-0000-0000-000029020000}"/>
    <cellStyle name="Moneda 3 2 4" xfId="558" xr:uid="{00000000-0005-0000-0000-00002A020000}"/>
    <cellStyle name="Moneda 3 2 4 2" xfId="559" xr:uid="{00000000-0005-0000-0000-00002B020000}"/>
    <cellStyle name="Moneda 3 2 4 2 2" xfId="560" xr:uid="{00000000-0005-0000-0000-00002C020000}"/>
    <cellStyle name="Moneda 3 2 4 3" xfId="561" xr:uid="{00000000-0005-0000-0000-00002D020000}"/>
    <cellStyle name="Moneda 3 2 5" xfId="562" xr:uid="{00000000-0005-0000-0000-00002E020000}"/>
    <cellStyle name="Moneda 3 2 5 2" xfId="563" xr:uid="{00000000-0005-0000-0000-00002F020000}"/>
    <cellStyle name="Moneda 3 2 6" xfId="564" xr:uid="{00000000-0005-0000-0000-000030020000}"/>
    <cellStyle name="Moneda 3 2 6 2" xfId="565" xr:uid="{00000000-0005-0000-0000-000031020000}"/>
    <cellStyle name="Moneda 3 3" xfId="566" xr:uid="{00000000-0005-0000-0000-000032020000}"/>
    <cellStyle name="Moneda 3 3 2" xfId="567" xr:uid="{00000000-0005-0000-0000-000033020000}"/>
    <cellStyle name="Moneda 3 3 2 2" xfId="568" xr:uid="{00000000-0005-0000-0000-000034020000}"/>
    <cellStyle name="Moneda 3 3 2 2 2" xfId="569" xr:uid="{00000000-0005-0000-0000-000035020000}"/>
    <cellStyle name="Moneda 3 3 2 3" xfId="570" xr:uid="{00000000-0005-0000-0000-000036020000}"/>
    <cellStyle name="Moneda 3 3 3" xfId="571" xr:uid="{00000000-0005-0000-0000-000037020000}"/>
    <cellStyle name="Moneda 3 3 3 2" xfId="572" xr:uid="{00000000-0005-0000-0000-000038020000}"/>
    <cellStyle name="Moneda 3 3 3 2 2" xfId="573" xr:uid="{00000000-0005-0000-0000-000039020000}"/>
    <cellStyle name="Moneda 3 3 3 3" xfId="574" xr:uid="{00000000-0005-0000-0000-00003A020000}"/>
    <cellStyle name="Moneda 3 3 4" xfId="575" xr:uid="{00000000-0005-0000-0000-00003B020000}"/>
    <cellStyle name="Moneda 3 3 4 2" xfId="576" xr:uid="{00000000-0005-0000-0000-00003C020000}"/>
    <cellStyle name="Moneda 3 3 5" xfId="577" xr:uid="{00000000-0005-0000-0000-00003D020000}"/>
    <cellStyle name="Moneda 3 4" xfId="578" xr:uid="{00000000-0005-0000-0000-00003E020000}"/>
    <cellStyle name="Moneda 3 4 2" xfId="579" xr:uid="{00000000-0005-0000-0000-00003F020000}"/>
    <cellStyle name="Moneda 3 4 2 2" xfId="580" xr:uid="{00000000-0005-0000-0000-000040020000}"/>
    <cellStyle name="Moneda 3 4 3" xfId="581" xr:uid="{00000000-0005-0000-0000-000041020000}"/>
    <cellStyle name="Moneda 3 5" xfId="582" xr:uid="{00000000-0005-0000-0000-000042020000}"/>
    <cellStyle name="Moneda 3 5 2" xfId="583" xr:uid="{00000000-0005-0000-0000-000043020000}"/>
    <cellStyle name="Moneda 3 5 2 2" xfId="584" xr:uid="{00000000-0005-0000-0000-000044020000}"/>
    <cellStyle name="Moneda 3 5 3" xfId="585" xr:uid="{00000000-0005-0000-0000-000045020000}"/>
    <cellStyle name="Moneda 3 6" xfId="586" xr:uid="{00000000-0005-0000-0000-000046020000}"/>
    <cellStyle name="Moneda 3 6 2" xfId="587" xr:uid="{00000000-0005-0000-0000-000047020000}"/>
    <cellStyle name="Moneda 3 7" xfId="588" xr:uid="{00000000-0005-0000-0000-000048020000}"/>
    <cellStyle name="Moneda 3 7 2" xfId="589" xr:uid="{00000000-0005-0000-0000-000049020000}"/>
    <cellStyle name="Moneda 3 8" xfId="590" xr:uid="{00000000-0005-0000-0000-00004A020000}"/>
    <cellStyle name="Moneda 4" xfId="591" xr:uid="{00000000-0005-0000-0000-00004B020000}"/>
    <cellStyle name="Moneda 4 2" xfId="592" xr:uid="{00000000-0005-0000-0000-00004C020000}"/>
    <cellStyle name="Moneda 5" xfId="792" xr:uid="{E30C66A9-F82B-4C8D-A018-94BA0C8D7537}"/>
    <cellStyle name="Neutral 2" xfId="593" xr:uid="{00000000-0005-0000-0000-00004D020000}"/>
    <cellStyle name="Neutral 2 2" xfId="594" xr:uid="{00000000-0005-0000-0000-00004E020000}"/>
    <cellStyle name="Normal" xfId="0" builtinId="0"/>
    <cellStyle name="Normal 10" xfId="595" xr:uid="{00000000-0005-0000-0000-000050020000}"/>
    <cellStyle name="Normal 10 2" xfId="596" xr:uid="{00000000-0005-0000-0000-000051020000}"/>
    <cellStyle name="Normal 10 3" xfId="597" xr:uid="{00000000-0005-0000-0000-000052020000}"/>
    <cellStyle name="Normal 11" xfId="598" xr:uid="{00000000-0005-0000-0000-000053020000}"/>
    <cellStyle name="Normal 11 2" xfId="599" xr:uid="{00000000-0005-0000-0000-000054020000}"/>
    <cellStyle name="Normal 11 2 2" xfId="600" xr:uid="{00000000-0005-0000-0000-000055020000}"/>
    <cellStyle name="Normal 11 3" xfId="601" xr:uid="{00000000-0005-0000-0000-000056020000}"/>
    <cellStyle name="Normal 11 3 2" xfId="602" xr:uid="{00000000-0005-0000-0000-000057020000}"/>
    <cellStyle name="Normal 11 3 3" xfId="603" xr:uid="{00000000-0005-0000-0000-000058020000}"/>
    <cellStyle name="Normal 11 3 4" xfId="604" xr:uid="{00000000-0005-0000-0000-000059020000}"/>
    <cellStyle name="Normal 12" xfId="605" xr:uid="{00000000-0005-0000-0000-00005A020000}"/>
    <cellStyle name="Normal 13" xfId="606" xr:uid="{00000000-0005-0000-0000-00005B020000}"/>
    <cellStyle name="Normal 14" xfId="607" xr:uid="{00000000-0005-0000-0000-00005C020000}"/>
    <cellStyle name="Normal 14 2" xfId="608" xr:uid="{00000000-0005-0000-0000-00005D020000}"/>
    <cellStyle name="Normal 15" xfId="609" xr:uid="{00000000-0005-0000-0000-00005E020000}"/>
    <cellStyle name="Normal 16" xfId="789" xr:uid="{99FCA681-4EDF-4FA6-9D75-254B03C8A6F6}"/>
    <cellStyle name="Normal 2" xfId="610" xr:uid="{00000000-0005-0000-0000-00005F020000}"/>
    <cellStyle name="Normal 2 10" xfId="611" xr:uid="{00000000-0005-0000-0000-000060020000}"/>
    <cellStyle name="Normal 2 2" xfId="2" xr:uid="{00000000-0005-0000-0000-000061020000}"/>
    <cellStyle name="Normal 2 2 2" xfId="612" xr:uid="{00000000-0005-0000-0000-000062020000}"/>
    <cellStyle name="Normal 2 2 3" xfId="613" xr:uid="{00000000-0005-0000-0000-000063020000}"/>
    <cellStyle name="Normal 2 2 4" xfId="614" xr:uid="{00000000-0005-0000-0000-000064020000}"/>
    <cellStyle name="Normal 2 2 5" xfId="615" xr:uid="{00000000-0005-0000-0000-000065020000}"/>
    <cellStyle name="Normal 2 2 6" xfId="616" xr:uid="{00000000-0005-0000-0000-000066020000}"/>
    <cellStyle name="Normal 2 2 6 2" xfId="617" xr:uid="{00000000-0005-0000-0000-000067020000}"/>
    <cellStyle name="Normal 2 2 6 2 2" xfId="618" xr:uid="{00000000-0005-0000-0000-000068020000}"/>
    <cellStyle name="Normal 2 2 6 2 2 2 2" xfId="619" xr:uid="{00000000-0005-0000-0000-000069020000}"/>
    <cellStyle name="Normal 2 2 6 3" xfId="620" xr:uid="{00000000-0005-0000-0000-00006A020000}"/>
    <cellStyle name="Normal 2 2 6 4" xfId="621" xr:uid="{00000000-0005-0000-0000-00006B020000}"/>
    <cellStyle name="Normal 2 2_PLANTILLA FINAL CON ANALISIS" xfId="622" xr:uid="{00000000-0005-0000-0000-00006C020000}"/>
    <cellStyle name="Normal 2 3" xfId="623" xr:uid="{00000000-0005-0000-0000-00006D020000}"/>
    <cellStyle name="Normal 2 3 2" xfId="624" xr:uid="{00000000-0005-0000-0000-00006E020000}"/>
    <cellStyle name="Normal 2 3 2 2" xfId="4" xr:uid="{00000000-0005-0000-0000-00006F020000}"/>
    <cellStyle name="Normal 2 3 2 3" xfId="625" xr:uid="{00000000-0005-0000-0000-000070020000}"/>
    <cellStyle name="Normal 2 3 3" xfId="626" xr:uid="{00000000-0005-0000-0000-000071020000}"/>
    <cellStyle name="Normal 2 3 3 2" xfId="627" xr:uid="{00000000-0005-0000-0000-000072020000}"/>
    <cellStyle name="Normal 2 3 3 3" xfId="628" xr:uid="{00000000-0005-0000-0000-000073020000}"/>
    <cellStyle name="Normal 2 3 4" xfId="629" xr:uid="{00000000-0005-0000-0000-000074020000}"/>
    <cellStyle name="Normal 2 3 6" xfId="630" xr:uid="{00000000-0005-0000-0000-000075020000}"/>
    <cellStyle name="Normal 2 4" xfId="631" xr:uid="{00000000-0005-0000-0000-000076020000}"/>
    <cellStyle name="Normal 2 4 2" xfId="632" xr:uid="{00000000-0005-0000-0000-000077020000}"/>
    <cellStyle name="Normal 2 4 2 2" xfId="633" xr:uid="{00000000-0005-0000-0000-000078020000}"/>
    <cellStyle name="Normal 2 4 2 2 2" xfId="634" xr:uid="{00000000-0005-0000-0000-000079020000}"/>
    <cellStyle name="Normal 2 4 2 3" xfId="635" xr:uid="{00000000-0005-0000-0000-00007A020000}"/>
    <cellStyle name="Normal 2 5" xfId="636" xr:uid="{00000000-0005-0000-0000-00007B020000}"/>
    <cellStyle name="Normal 2 6" xfId="637" xr:uid="{00000000-0005-0000-0000-00007C020000}"/>
    <cellStyle name="Normal 2 7" xfId="638" xr:uid="{00000000-0005-0000-0000-00007D020000}"/>
    <cellStyle name="Normal 2 8" xfId="639" xr:uid="{00000000-0005-0000-0000-00007E020000}"/>
    <cellStyle name="Normal 2 9" xfId="640" xr:uid="{00000000-0005-0000-0000-00007F020000}"/>
    <cellStyle name="Normal 2_13.02 (2)" xfId="641" xr:uid="{00000000-0005-0000-0000-000080020000}"/>
    <cellStyle name="Normal 3" xfId="642" xr:uid="{00000000-0005-0000-0000-000081020000}"/>
    <cellStyle name="Normal 3 2" xfId="643" xr:uid="{00000000-0005-0000-0000-000082020000}"/>
    <cellStyle name="Normal 3 2 2" xfId="644" xr:uid="{00000000-0005-0000-0000-000083020000}"/>
    <cellStyle name="Normal 3 2 2 2" xfId="645" xr:uid="{00000000-0005-0000-0000-000084020000}"/>
    <cellStyle name="Normal 3 2 2 2 2" xfId="646" xr:uid="{00000000-0005-0000-0000-000085020000}"/>
    <cellStyle name="Normal 3 2 2 2 2 2" xfId="647" xr:uid="{00000000-0005-0000-0000-000086020000}"/>
    <cellStyle name="Normal 3 2 2 2 2 2 2" xfId="648" xr:uid="{00000000-0005-0000-0000-000087020000}"/>
    <cellStyle name="Normal 3 2 2 2 3" xfId="649" xr:uid="{00000000-0005-0000-0000-000088020000}"/>
    <cellStyle name="Normal 3 2 3" xfId="650" xr:uid="{00000000-0005-0000-0000-000089020000}"/>
    <cellStyle name="Normal 3 2 4" xfId="651" xr:uid="{00000000-0005-0000-0000-00008A020000}"/>
    <cellStyle name="Normal 3 2 4 2" xfId="652" xr:uid="{00000000-0005-0000-0000-00008B020000}"/>
    <cellStyle name="Normal 3 2 4 2 2" xfId="653" xr:uid="{00000000-0005-0000-0000-00008C020000}"/>
    <cellStyle name="Normal 3 2 4 3" xfId="654" xr:uid="{00000000-0005-0000-0000-00008D020000}"/>
    <cellStyle name="Normal 3 2 5" xfId="655" xr:uid="{00000000-0005-0000-0000-00008E020000}"/>
    <cellStyle name="Normal 3 3" xfId="656" xr:uid="{00000000-0005-0000-0000-00008F020000}"/>
    <cellStyle name="Normal 3 3 2" xfId="657" xr:uid="{00000000-0005-0000-0000-000090020000}"/>
    <cellStyle name="Normal 3 3 3" xfId="658" xr:uid="{00000000-0005-0000-0000-000091020000}"/>
    <cellStyle name="Normal 3 3 3 2" xfId="659" xr:uid="{00000000-0005-0000-0000-000092020000}"/>
    <cellStyle name="Normal 3 3 3 2 2" xfId="660" xr:uid="{00000000-0005-0000-0000-000093020000}"/>
    <cellStyle name="Normal 3 3 3 3" xfId="661" xr:uid="{00000000-0005-0000-0000-000094020000}"/>
    <cellStyle name="Normal 3 3 4" xfId="662" xr:uid="{00000000-0005-0000-0000-000095020000}"/>
    <cellStyle name="Normal 3 4" xfId="663" xr:uid="{00000000-0005-0000-0000-000096020000}"/>
    <cellStyle name="Normal 3 4 2" xfId="5" xr:uid="{00000000-0005-0000-0000-000097020000}"/>
    <cellStyle name="Normal 3 4 3" xfId="664" xr:uid="{00000000-0005-0000-0000-000098020000}"/>
    <cellStyle name="Normal 3 6" xfId="665" xr:uid="{00000000-0005-0000-0000-000099020000}"/>
    <cellStyle name="Normal 4" xfId="666" xr:uid="{00000000-0005-0000-0000-00009A020000}"/>
    <cellStyle name="Normal 4 2" xfId="667" xr:uid="{00000000-0005-0000-0000-00009B020000}"/>
    <cellStyle name="Normal 4 3" xfId="668" xr:uid="{00000000-0005-0000-0000-00009C020000}"/>
    <cellStyle name="Normal 4 3 2" xfId="669" xr:uid="{00000000-0005-0000-0000-00009D020000}"/>
    <cellStyle name="Normal 4 3 3" xfId="670" xr:uid="{00000000-0005-0000-0000-00009E020000}"/>
    <cellStyle name="Normal 4 4" xfId="671" xr:uid="{00000000-0005-0000-0000-00009F020000}"/>
    <cellStyle name="Normal 5" xfId="672" xr:uid="{00000000-0005-0000-0000-0000A0020000}"/>
    <cellStyle name="Normal 5 2" xfId="673" xr:uid="{00000000-0005-0000-0000-0000A1020000}"/>
    <cellStyle name="Normal 5 2 2" xfId="674" xr:uid="{00000000-0005-0000-0000-0000A2020000}"/>
    <cellStyle name="Normal 5 2 3" xfId="675" xr:uid="{00000000-0005-0000-0000-0000A3020000}"/>
    <cellStyle name="Normal 5 3" xfId="676" xr:uid="{00000000-0005-0000-0000-0000A4020000}"/>
    <cellStyle name="Normal 5 3 2" xfId="677" xr:uid="{00000000-0005-0000-0000-0000A5020000}"/>
    <cellStyle name="Normal 5 3 3" xfId="678" xr:uid="{00000000-0005-0000-0000-0000A6020000}"/>
    <cellStyle name="Normal 5 3 4" xfId="679" xr:uid="{00000000-0005-0000-0000-0000A7020000}"/>
    <cellStyle name="Normal 5 3 5" xfId="680" xr:uid="{00000000-0005-0000-0000-0000A8020000}"/>
    <cellStyle name="Normal 5 4" xfId="681" xr:uid="{00000000-0005-0000-0000-0000A9020000}"/>
    <cellStyle name="Normal 5 4 2" xfId="682" xr:uid="{00000000-0005-0000-0000-0000AA020000}"/>
    <cellStyle name="Normal 5 5" xfId="683" xr:uid="{00000000-0005-0000-0000-0000AB020000}"/>
    <cellStyle name="Normal 5 5 2" xfId="684" xr:uid="{00000000-0005-0000-0000-0000AC020000}"/>
    <cellStyle name="Normal 5 6" xfId="685" xr:uid="{00000000-0005-0000-0000-0000AD020000}"/>
    <cellStyle name="Normal 5 7" xfId="686" xr:uid="{00000000-0005-0000-0000-0000AE020000}"/>
    <cellStyle name="Normal 5 8" xfId="687" xr:uid="{00000000-0005-0000-0000-0000AF020000}"/>
    <cellStyle name="Normal 6" xfId="688" xr:uid="{00000000-0005-0000-0000-0000B0020000}"/>
    <cellStyle name="Normal 6 2" xfId="689" xr:uid="{00000000-0005-0000-0000-0000B1020000}"/>
    <cellStyle name="Normal 6 3" xfId="690" xr:uid="{00000000-0005-0000-0000-0000B2020000}"/>
    <cellStyle name="Normal 6 3 2" xfId="691" xr:uid="{00000000-0005-0000-0000-0000B3020000}"/>
    <cellStyle name="Normal 6 3 2 2" xfId="692" xr:uid="{00000000-0005-0000-0000-0000B4020000}"/>
    <cellStyle name="Normal 6 3 2 2 2" xfId="693" xr:uid="{00000000-0005-0000-0000-0000B5020000}"/>
    <cellStyle name="Normal 6 3 2 2 3" xfId="694" xr:uid="{00000000-0005-0000-0000-0000B6020000}"/>
    <cellStyle name="Normal 6 3 2 2 4" xfId="695" xr:uid="{00000000-0005-0000-0000-0000B7020000}"/>
    <cellStyle name="Normal 6 3 2 3" xfId="696" xr:uid="{00000000-0005-0000-0000-0000B8020000}"/>
    <cellStyle name="Normal 6 3 3" xfId="697" xr:uid="{00000000-0005-0000-0000-0000B9020000}"/>
    <cellStyle name="Normal 6 3 3 2" xfId="698" xr:uid="{00000000-0005-0000-0000-0000BA020000}"/>
    <cellStyle name="Normal 6 3 3 3" xfId="699" xr:uid="{00000000-0005-0000-0000-0000BB020000}"/>
    <cellStyle name="Normal 6 3 4" xfId="700" xr:uid="{00000000-0005-0000-0000-0000BC020000}"/>
    <cellStyle name="Normal 6 4" xfId="701" xr:uid="{00000000-0005-0000-0000-0000BD020000}"/>
    <cellStyle name="Normal 6 5" xfId="702" xr:uid="{00000000-0005-0000-0000-0000BE020000}"/>
    <cellStyle name="Normal 6 6" xfId="703" xr:uid="{00000000-0005-0000-0000-0000BF020000}"/>
    <cellStyle name="Normal 7" xfId="704" xr:uid="{00000000-0005-0000-0000-0000C0020000}"/>
    <cellStyle name="Normal 7 2" xfId="705" xr:uid="{00000000-0005-0000-0000-0000C1020000}"/>
    <cellStyle name="Normal 7 3" xfId="706" xr:uid="{00000000-0005-0000-0000-0000C2020000}"/>
    <cellStyle name="Normal 7 4" xfId="707" xr:uid="{00000000-0005-0000-0000-0000C3020000}"/>
    <cellStyle name="Normal 7 4 2" xfId="708" xr:uid="{00000000-0005-0000-0000-0000C4020000}"/>
    <cellStyle name="Normal 7 5" xfId="709" xr:uid="{00000000-0005-0000-0000-0000C5020000}"/>
    <cellStyle name="Normal 8" xfId="710" xr:uid="{00000000-0005-0000-0000-0000C6020000}"/>
    <cellStyle name="Normal 8 2" xfId="711" xr:uid="{00000000-0005-0000-0000-0000C7020000}"/>
    <cellStyle name="Normal 8 3" xfId="712" xr:uid="{00000000-0005-0000-0000-0000C8020000}"/>
    <cellStyle name="Normal 9" xfId="713" xr:uid="{00000000-0005-0000-0000-0000C9020000}"/>
    <cellStyle name="Normal 9 2" xfId="714" xr:uid="{00000000-0005-0000-0000-0000CA020000}"/>
    <cellStyle name="Normal 9 3" xfId="715" xr:uid="{00000000-0005-0000-0000-0000CB020000}"/>
    <cellStyle name="Normal 9 4" xfId="716" xr:uid="{00000000-0005-0000-0000-0000CC020000}"/>
    <cellStyle name="Normal 9 5" xfId="717" xr:uid="{00000000-0005-0000-0000-0000CD020000}"/>
    <cellStyle name="Notas 2" xfId="718" xr:uid="{00000000-0005-0000-0000-0000CE020000}"/>
    <cellStyle name="Notas 2 2" xfId="719" xr:uid="{00000000-0005-0000-0000-0000CF020000}"/>
    <cellStyle name="Notas 2 2 2" xfId="720" xr:uid="{00000000-0005-0000-0000-0000D0020000}"/>
    <cellStyle name="Notas 2 3" xfId="721" xr:uid="{00000000-0005-0000-0000-0000D1020000}"/>
    <cellStyle name="Porcentaje" xfId="796" builtinId="5"/>
    <cellStyle name="Porcentual 2" xfId="722" xr:uid="{00000000-0005-0000-0000-0000D2020000}"/>
    <cellStyle name="Porcentual 2 2" xfId="723" xr:uid="{00000000-0005-0000-0000-0000D3020000}"/>
    <cellStyle name="Porcentual 3" xfId="724" xr:uid="{00000000-0005-0000-0000-0000D4020000}"/>
    <cellStyle name="Salida 2" xfId="725" xr:uid="{00000000-0005-0000-0000-0000D5020000}"/>
    <cellStyle name="Salida 2 2" xfId="726" xr:uid="{00000000-0005-0000-0000-0000D6020000}"/>
    <cellStyle name="Texto de advertencia 2" xfId="727" xr:uid="{00000000-0005-0000-0000-0000D7020000}"/>
    <cellStyle name="Texto de advertencia 2 2" xfId="728" xr:uid="{00000000-0005-0000-0000-0000D8020000}"/>
    <cellStyle name="Texto explicativo" xfId="1" builtinId="53"/>
    <cellStyle name="Texto explicativo 2" xfId="729" xr:uid="{00000000-0005-0000-0000-0000DA020000}"/>
    <cellStyle name="Texto explicativo 2 2" xfId="730" xr:uid="{00000000-0005-0000-0000-0000DB020000}"/>
    <cellStyle name="Título 1 2" xfId="731" xr:uid="{00000000-0005-0000-0000-0000DC020000}"/>
    <cellStyle name="Título 1 2 2" xfId="732" xr:uid="{00000000-0005-0000-0000-0000DD020000}"/>
    <cellStyle name="Título 2 2" xfId="733" xr:uid="{00000000-0005-0000-0000-0000DE020000}"/>
    <cellStyle name="Título 2 2 2" xfId="734" xr:uid="{00000000-0005-0000-0000-0000DF020000}"/>
    <cellStyle name="Título 3 2" xfId="735" xr:uid="{00000000-0005-0000-0000-0000E0020000}"/>
    <cellStyle name="Título 3 2 2" xfId="736" xr:uid="{00000000-0005-0000-0000-0000E1020000}"/>
    <cellStyle name="Título 4" xfId="737" xr:uid="{00000000-0005-0000-0000-0000E2020000}"/>
    <cellStyle name="Título 4 2" xfId="738" xr:uid="{00000000-0005-0000-0000-0000E3020000}"/>
    <cellStyle name="Total 2" xfId="739" xr:uid="{00000000-0005-0000-0000-0000E4020000}"/>
    <cellStyle name="Total 2 2" xfId="740" xr:uid="{00000000-0005-0000-0000-0000E5020000}"/>
    <cellStyle name="好" xfId="741" xr:uid="{00000000-0005-0000-0000-0000E6020000}"/>
    <cellStyle name="好 2" xfId="742" xr:uid="{00000000-0005-0000-0000-0000E7020000}"/>
    <cellStyle name="差" xfId="743" xr:uid="{00000000-0005-0000-0000-0000E8020000}"/>
    <cellStyle name="差 2" xfId="744" xr:uid="{00000000-0005-0000-0000-0000E9020000}"/>
    <cellStyle name="常规_Sheet1" xfId="745" xr:uid="{00000000-0005-0000-0000-0000EA020000}"/>
    <cellStyle name="强调文字颜色 1" xfId="746" xr:uid="{00000000-0005-0000-0000-0000EB020000}"/>
    <cellStyle name="强调文字颜色 1 2" xfId="747" xr:uid="{00000000-0005-0000-0000-0000EC020000}"/>
    <cellStyle name="强调文字颜色 2" xfId="748" xr:uid="{00000000-0005-0000-0000-0000ED020000}"/>
    <cellStyle name="强调文字颜色 2 2" xfId="749" xr:uid="{00000000-0005-0000-0000-0000EE020000}"/>
    <cellStyle name="强调文字颜色 3" xfId="750" xr:uid="{00000000-0005-0000-0000-0000EF020000}"/>
    <cellStyle name="强调文字颜色 3 2" xfId="751" xr:uid="{00000000-0005-0000-0000-0000F0020000}"/>
    <cellStyle name="强调文字颜色 4" xfId="752" xr:uid="{00000000-0005-0000-0000-0000F1020000}"/>
    <cellStyle name="强调文字颜色 4 2" xfId="753" xr:uid="{00000000-0005-0000-0000-0000F2020000}"/>
    <cellStyle name="强调文字颜色 5" xfId="754" xr:uid="{00000000-0005-0000-0000-0000F3020000}"/>
    <cellStyle name="强调文字颜色 5 2" xfId="755" xr:uid="{00000000-0005-0000-0000-0000F4020000}"/>
    <cellStyle name="强调文字颜色 6" xfId="756" xr:uid="{00000000-0005-0000-0000-0000F5020000}"/>
    <cellStyle name="强调文字颜色 6 2" xfId="757" xr:uid="{00000000-0005-0000-0000-0000F6020000}"/>
    <cellStyle name="标题" xfId="758" xr:uid="{00000000-0005-0000-0000-0000F7020000}"/>
    <cellStyle name="标题 1" xfId="759" xr:uid="{00000000-0005-0000-0000-0000F8020000}"/>
    <cellStyle name="标题 1 2" xfId="760" xr:uid="{00000000-0005-0000-0000-0000F9020000}"/>
    <cellStyle name="标题 2" xfId="761" xr:uid="{00000000-0005-0000-0000-0000FA020000}"/>
    <cellStyle name="标题 2 2" xfId="762" xr:uid="{00000000-0005-0000-0000-0000FB020000}"/>
    <cellStyle name="标题 3" xfId="763" xr:uid="{00000000-0005-0000-0000-0000FC020000}"/>
    <cellStyle name="标题 3 2" xfId="764" xr:uid="{00000000-0005-0000-0000-0000FD020000}"/>
    <cellStyle name="标题 4" xfId="765" xr:uid="{00000000-0005-0000-0000-0000FE020000}"/>
    <cellStyle name="标题 4 2" xfId="766" xr:uid="{00000000-0005-0000-0000-0000FF020000}"/>
    <cellStyle name="标题 5" xfId="767" xr:uid="{00000000-0005-0000-0000-000000030000}"/>
    <cellStyle name="检查单元格" xfId="768" xr:uid="{00000000-0005-0000-0000-000001030000}"/>
    <cellStyle name="检查单元格 2" xfId="769" xr:uid="{00000000-0005-0000-0000-000002030000}"/>
    <cellStyle name="汇总" xfId="770" xr:uid="{00000000-0005-0000-0000-000003030000}"/>
    <cellStyle name="汇总 2" xfId="771" xr:uid="{00000000-0005-0000-0000-000004030000}"/>
    <cellStyle name="注释" xfId="772" xr:uid="{00000000-0005-0000-0000-000005030000}"/>
    <cellStyle name="注释 2" xfId="773" xr:uid="{00000000-0005-0000-0000-000006030000}"/>
    <cellStyle name="解释性文本" xfId="774" xr:uid="{00000000-0005-0000-0000-000007030000}"/>
    <cellStyle name="解释性文本 2" xfId="775" xr:uid="{00000000-0005-0000-0000-000008030000}"/>
    <cellStyle name="警告文本" xfId="776" xr:uid="{00000000-0005-0000-0000-000009030000}"/>
    <cellStyle name="警告文本 2" xfId="777" xr:uid="{00000000-0005-0000-0000-00000A030000}"/>
    <cellStyle name="计算" xfId="778" xr:uid="{00000000-0005-0000-0000-00000B030000}"/>
    <cellStyle name="计算 2" xfId="779" xr:uid="{00000000-0005-0000-0000-00000C030000}"/>
    <cellStyle name="输入" xfId="780" xr:uid="{00000000-0005-0000-0000-00000D030000}"/>
    <cellStyle name="输入 2" xfId="781" xr:uid="{00000000-0005-0000-0000-00000E030000}"/>
    <cellStyle name="输出" xfId="782" xr:uid="{00000000-0005-0000-0000-00000F030000}"/>
    <cellStyle name="输出 2" xfId="783" xr:uid="{00000000-0005-0000-0000-000010030000}"/>
    <cellStyle name="适中" xfId="784" xr:uid="{00000000-0005-0000-0000-000011030000}"/>
    <cellStyle name="适中 2" xfId="785" xr:uid="{00000000-0005-0000-0000-000012030000}"/>
    <cellStyle name="链接单元格" xfId="786" xr:uid="{00000000-0005-0000-0000-000013030000}"/>
    <cellStyle name="链接单元格 2" xfId="787" xr:uid="{00000000-0005-0000-0000-000014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508000</xdr:colOff>
      <xdr:row>3</xdr:row>
      <xdr:rowOff>809625</xdr:rowOff>
    </xdr:from>
    <xdr:to>
      <xdr:col>4</xdr:col>
      <xdr:colOff>2965793</xdr:colOff>
      <xdr:row>3</xdr:row>
      <xdr:rowOff>2181416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C284F64-A3DD-559B-B31F-C9FAFFC84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0125" y="2254250"/>
          <a:ext cx="2457793" cy="137179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"/>
  <sheetViews>
    <sheetView showGridLines="0" tabSelected="1" topLeftCell="C1" zoomScale="60" zoomScaleNormal="60" workbookViewId="0">
      <selection activeCell="F13" sqref="F13"/>
    </sheetView>
  </sheetViews>
  <sheetFormatPr defaultColWidth="11.42578125" defaultRowHeight="21"/>
  <cols>
    <col min="1" max="1" width="3.42578125" customWidth="1"/>
    <col min="2" max="2" width="5.42578125" customWidth="1"/>
    <col min="3" max="3" width="16.7109375" customWidth="1"/>
    <col min="4" max="4" width="23.28515625" customWidth="1"/>
    <col min="5" max="5" width="51.5703125" customWidth="1"/>
    <col min="6" max="6" width="12.7109375" customWidth="1"/>
    <col min="7" max="7" width="21.5703125" style="11" customWidth="1"/>
    <col min="8" max="8" width="17" style="11" customWidth="1"/>
    <col min="9" max="9" width="91.42578125" customWidth="1"/>
    <col min="10" max="10" width="20.5703125" customWidth="1"/>
    <col min="11" max="11" width="11.28515625" customWidth="1"/>
    <col min="12" max="12" width="13" customWidth="1"/>
    <col min="13" max="13" width="25.140625" style="11" customWidth="1"/>
    <col min="14" max="14" width="16.28515625" style="11" customWidth="1"/>
    <col min="15" max="15" width="17.5703125" style="11" customWidth="1"/>
    <col min="16" max="16" width="14.28515625" style="48" customWidth="1"/>
    <col min="17" max="17" width="19.42578125" style="11" bestFit="1" customWidth="1"/>
    <col min="18" max="18" width="13.42578125" style="11" customWidth="1"/>
    <col min="19" max="19" width="19.140625" style="11" bestFit="1" customWidth="1"/>
    <col min="20" max="20" width="29.140625" style="11" customWidth="1"/>
    <col min="21" max="21" width="14.140625" style="11" bestFit="1" customWidth="1"/>
    <col min="22" max="22" width="17" style="11" bestFit="1" customWidth="1"/>
    <col min="23" max="23" width="18.28515625" style="11" customWidth="1"/>
    <col min="24" max="24" width="18" style="11" bestFit="1" customWidth="1"/>
    <col min="25" max="25" width="27" style="11" bestFit="1" customWidth="1"/>
    <col min="26" max="26" width="37.7109375" style="11" bestFit="1" customWidth="1"/>
    <col min="27" max="27" width="30.140625" style="11" bestFit="1" customWidth="1"/>
    <col min="28" max="28" width="20.5703125" style="11" bestFit="1" customWidth="1"/>
    <col min="29" max="29" width="21.28515625" style="11" bestFit="1" customWidth="1"/>
    <col min="30" max="30" width="19.42578125" style="11" customWidth="1"/>
    <col min="31" max="31" width="30.140625" style="11" bestFit="1" customWidth="1"/>
    <col min="32" max="32" width="15.85546875" style="11" bestFit="1" customWidth="1"/>
    <col min="33" max="33" width="22.28515625" style="11" bestFit="1" customWidth="1"/>
    <col min="34" max="34" width="20.5703125" style="11" bestFit="1" customWidth="1"/>
    <col min="35" max="35" width="31.5703125" style="11" bestFit="1" customWidth="1"/>
    <col min="36" max="36" width="24.7109375" style="11" customWidth="1"/>
    <col min="37" max="37" width="19.140625" style="11" bestFit="1" customWidth="1"/>
    <col min="38" max="38" width="11.42578125" style="11"/>
    <col min="39" max="39" width="20.5703125" style="11" bestFit="1" customWidth="1"/>
    <col min="40" max="40" width="21.5703125" style="11" bestFit="1" customWidth="1"/>
    <col min="41" max="41" width="19.85546875" style="11" bestFit="1" customWidth="1"/>
    <col min="42" max="42" width="38.42578125" style="11" bestFit="1" customWidth="1"/>
    <col min="43" max="43" width="20.85546875" style="11" bestFit="1" customWidth="1"/>
    <col min="44" max="44" width="19.42578125" style="11" bestFit="1" customWidth="1"/>
    <col min="45" max="45" width="11.42578125" style="11"/>
    <col min="46" max="46" width="13" style="11" bestFit="1" customWidth="1"/>
    <col min="47" max="47" width="15.5703125" style="11" bestFit="1" customWidth="1"/>
  </cols>
  <sheetData>
    <row r="1" spans="1:47">
      <c r="B1" s="9"/>
      <c r="C1" s="9"/>
      <c r="D1" s="9"/>
      <c r="E1" s="9"/>
      <c r="F1" s="9"/>
      <c r="G1" s="9"/>
      <c r="H1" s="9"/>
      <c r="I1" s="9"/>
      <c r="N1" s="24"/>
    </row>
    <row r="2" spans="1:47" s="25" customFormat="1" ht="30" customHeight="1">
      <c r="B2" s="53" t="s">
        <v>0</v>
      </c>
      <c r="C2" s="53"/>
      <c r="D2" s="53"/>
      <c r="E2" s="53"/>
      <c r="F2" s="53"/>
      <c r="G2" s="53"/>
      <c r="H2" s="53"/>
      <c r="I2" s="53"/>
      <c r="J2" s="53"/>
      <c r="K2" s="8"/>
      <c r="L2" s="1"/>
      <c r="M2" s="1"/>
      <c r="N2" s="1"/>
      <c r="O2" s="1"/>
      <c r="P2" s="47"/>
      <c r="Q2" s="1"/>
      <c r="R2" s="1"/>
      <c r="S2" s="1"/>
      <c r="T2" s="1"/>
      <c r="U2" s="1"/>
      <c r="V2" s="1"/>
      <c r="W2" s="2"/>
      <c r="X2" s="1"/>
      <c r="Y2" s="1"/>
      <c r="Z2" s="2"/>
      <c r="AA2" s="3"/>
      <c r="AB2" s="2"/>
      <c r="AC2" s="1"/>
      <c r="AD2" s="1"/>
      <c r="AE2" s="1"/>
      <c r="AF2" s="1"/>
      <c r="AG2" s="1"/>
      <c r="AH2" s="1"/>
      <c r="AI2" s="1"/>
      <c r="AJ2" s="1"/>
      <c r="AK2" s="1"/>
    </row>
    <row r="3" spans="1:47" s="11" customFormat="1" ht="63" customHeight="1">
      <c r="A3" s="17"/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29"/>
      <c r="L3" s="4"/>
      <c r="M3" s="13" t="s">
        <v>10</v>
      </c>
      <c r="N3" s="13" t="s">
        <v>11</v>
      </c>
      <c r="O3" s="13" t="s">
        <v>12</v>
      </c>
      <c r="P3" s="13" t="s">
        <v>13</v>
      </c>
      <c r="Q3" s="12" t="s">
        <v>14</v>
      </c>
      <c r="R3" s="12" t="s">
        <v>15</v>
      </c>
      <c r="S3" s="12" t="s">
        <v>16</v>
      </c>
      <c r="T3" s="12" t="s">
        <v>17</v>
      </c>
      <c r="U3" s="12" t="s">
        <v>18</v>
      </c>
      <c r="V3" s="12" t="s">
        <v>19</v>
      </c>
      <c r="W3" s="12" t="s">
        <v>20</v>
      </c>
      <c r="X3" s="13" t="s">
        <v>21</v>
      </c>
      <c r="Y3" s="13" t="s">
        <v>22</v>
      </c>
      <c r="Z3" s="14" t="s">
        <v>23</v>
      </c>
      <c r="AA3" s="14" t="s">
        <v>24</v>
      </c>
      <c r="AB3" s="14" t="s">
        <v>25</v>
      </c>
      <c r="AC3" s="14" t="s">
        <v>26</v>
      </c>
      <c r="AD3" s="14" t="s">
        <v>27</v>
      </c>
      <c r="AE3" s="14" t="s">
        <v>28</v>
      </c>
      <c r="AF3" s="13" t="s">
        <v>29</v>
      </c>
      <c r="AG3" s="13" t="s">
        <v>30</v>
      </c>
      <c r="AH3" s="15" t="s">
        <v>18</v>
      </c>
      <c r="AI3" s="15" t="s">
        <v>31</v>
      </c>
      <c r="AJ3" s="15" t="s">
        <v>32</v>
      </c>
      <c r="AK3" s="16" t="s">
        <v>33</v>
      </c>
      <c r="AL3" s="26"/>
      <c r="AM3" s="27"/>
      <c r="AN3" s="27"/>
      <c r="AO3" s="27"/>
      <c r="AP3" s="27"/>
      <c r="AQ3" s="27"/>
      <c r="AR3" s="27"/>
      <c r="AS3" s="17"/>
      <c r="AT3" s="28"/>
      <c r="AU3" s="28"/>
    </row>
    <row r="4" spans="1:47" s="41" customFormat="1" ht="219.75" customHeight="1">
      <c r="A4" s="52"/>
      <c r="B4" s="45">
        <v>1</v>
      </c>
      <c r="C4" s="46" t="s">
        <v>34</v>
      </c>
      <c r="D4" s="46" t="s">
        <v>35</v>
      </c>
      <c r="E4" s="42"/>
      <c r="F4" s="30">
        <v>150</v>
      </c>
      <c r="G4" s="31">
        <v>13.49</v>
      </c>
      <c r="H4" s="32" t="s">
        <v>36</v>
      </c>
      <c r="I4" s="56" t="s">
        <v>37</v>
      </c>
      <c r="J4" s="31">
        <f>F4*G4</f>
        <v>2023.5</v>
      </c>
      <c r="K4" s="50">
        <v>12.49</v>
      </c>
      <c r="L4" s="51">
        <f>T4/J4</f>
        <v>0.24740548554484804</v>
      </c>
      <c r="M4" s="44" t="s">
        <v>38</v>
      </c>
      <c r="N4" s="54"/>
      <c r="O4" s="55"/>
      <c r="P4" s="49"/>
      <c r="Q4" s="33">
        <v>7.5</v>
      </c>
      <c r="R4" s="34">
        <v>44.5</v>
      </c>
      <c r="S4" s="5">
        <f t="shared" ref="S4" si="0">Q4*R4/100</f>
        <v>3.3374999999999999</v>
      </c>
      <c r="T4" s="6">
        <f t="shared" ref="T4" si="1">S4*V4</f>
        <v>500.625</v>
      </c>
      <c r="U4" s="7">
        <f t="shared" ref="U4" si="2">Q4+S4</f>
        <v>10.8375</v>
      </c>
      <c r="V4" s="34">
        <f t="shared" ref="V4" si="3">F4</f>
        <v>150</v>
      </c>
      <c r="W4" s="35">
        <f>Q4*2</f>
        <v>15</v>
      </c>
      <c r="X4" s="36">
        <v>130</v>
      </c>
      <c r="Y4" s="18">
        <f t="shared" ref="Y4" si="4">V4*U4+W4+X4</f>
        <v>1770.625</v>
      </c>
      <c r="Z4" s="43" t="s">
        <v>39</v>
      </c>
      <c r="AA4" s="37">
        <f>(55*2)</f>
        <v>110</v>
      </c>
      <c r="AB4" s="38">
        <v>2</v>
      </c>
      <c r="AC4" s="39">
        <v>1</v>
      </c>
      <c r="AD4" s="38">
        <v>1</v>
      </c>
      <c r="AE4" s="19">
        <f t="shared" ref="AE4" si="5">AA4*AB4*AC4*AD4</f>
        <v>220</v>
      </c>
      <c r="AF4" s="20"/>
      <c r="AG4" s="36">
        <f>1.5%*(Y4+AE4+AF4)</f>
        <v>29.859375</v>
      </c>
      <c r="AH4" s="21">
        <f t="shared" ref="AH4" si="6">Y4+AE4+AG4+AF4</f>
        <v>2020.484375</v>
      </c>
      <c r="AI4" s="22">
        <f t="shared" ref="AI4" si="7">AH4/V4</f>
        <v>13.469895833333334</v>
      </c>
      <c r="AJ4" s="40">
        <f t="shared" ref="AJ4" si="8">AI4*18%</f>
        <v>2.4245812500000001</v>
      </c>
      <c r="AK4" s="23">
        <f t="shared" ref="AK4" si="9">AI4+AJ4</f>
        <v>15.894477083333335</v>
      </c>
    </row>
  </sheetData>
  <mergeCells count="2">
    <mergeCell ref="B2:J2"/>
    <mergeCell ref="N4:O4"/>
  </mergeCells>
  <phoneticPr fontId="68" type="noConversion"/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PC-Karina</dc:creator>
  <cp:keywords/>
  <dc:description/>
  <cp:lastModifiedBy>Yennyser Compipro</cp:lastModifiedBy>
  <cp:revision/>
  <dcterms:created xsi:type="dcterms:W3CDTF">2018-10-17T16:56:54Z</dcterms:created>
  <dcterms:modified xsi:type="dcterms:W3CDTF">2026-05-11T07:46:54Z</dcterms:modified>
  <cp:category/>
  <cp:contentStatus/>
</cp:coreProperties>
</file>