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AGROVET MARKET/BD Cotizaciones/2026/"/>
    </mc:Choice>
  </mc:AlternateContent>
  <xr:revisionPtr revIDLastSave="38" documentId="13_ncr:1_{F09C3429-28AF-4387-ADD0-0AF1514FB3E7}" xr6:coauthVersionLast="47" xr6:coauthVersionMax="47" xr10:uidLastSave="{84063A46-7546-4F7E-8DBF-BA9FB3B86008}"/>
  <bookViews>
    <workbookView xWindow="-120" yWindow="-120" windowWidth="29040" windowHeight="15720" xr2:uid="{D7E959B2-A9C4-4179-9F3B-85BE4E239E1F}"/>
  </bookViews>
  <sheets>
    <sheet name="JUN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4" i="1"/>
  <c r="Z5" i="1"/>
  <c r="Z4" i="1"/>
  <c r="P4" i="1"/>
  <c r="P5" i="1"/>
  <c r="P6" i="1"/>
  <c r="Z6" i="1"/>
  <c r="AE5" i="1" l="1"/>
  <c r="AE4" i="1"/>
  <c r="AE6" i="1"/>
  <c r="AD4" i="1"/>
  <c r="U4" i="1"/>
  <c r="R4" i="1" l="1"/>
  <c r="AQ4" i="1" l="1"/>
  <c r="S4" i="1"/>
  <c r="T4" i="1"/>
  <c r="V4" i="1" s="1"/>
  <c r="X4" i="1" l="1"/>
  <c r="AF4" i="1" s="1"/>
  <c r="AG4" i="1" l="1"/>
  <c r="AH4" i="1" s="1"/>
  <c r="AI4" i="1" l="1"/>
  <c r="AJ4" i="1" s="1"/>
  <c r="AO4" i="1" l="1"/>
  <c r="AM4" i="1"/>
  <c r="AN4" i="1"/>
  <c r="AP4" i="1"/>
  <c r="AR4" i="1" l="1"/>
  <c r="AU4" i="1" s="1"/>
  <c r="AT4" i="1"/>
  <c r="AD6" i="1" l="1"/>
  <c r="U6" i="1"/>
  <c r="R6" i="1" l="1"/>
  <c r="T6" i="1" s="1"/>
  <c r="V6" i="1" s="1"/>
  <c r="U5" i="1"/>
  <c r="AD5" i="1"/>
  <c r="R5" i="1"/>
  <c r="X6" i="1" l="1"/>
  <c r="AQ6" i="1"/>
  <c r="S6" i="1"/>
  <c r="S5" i="1"/>
  <c r="AQ5" i="1"/>
  <c r="T5" i="1"/>
  <c r="V5" i="1" s="1"/>
  <c r="AF6" i="1" l="1"/>
  <c r="AG6" i="1" s="1"/>
  <c r="AH6" i="1" s="1"/>
  <c r="X5" i="1"/>
  <c r="AI6" i="1" l="1"/>
  <c r="AJ6" i="1" s="1"/>
  <c r="AF5" i="1"/>
  <c r="AG5" i="1" s="1"/>
  <c r="AH5" i="1" s="1"/>
  <c r="AP6" i="1" l="1"/>
  <c r="AO6" i="1"/>
  <c r="AN6" i="1"/>
  <c r="AM6" i="1"/>
  <c r="AI5" i="1"/>
  <c r="AJ5" i="1" s="1"/>
  <c r="AT6" i="1" l="1"/>
  <c r="AR6" i="1"/>
  <c r="AU6" i="1" s="1"/>
  <c r="AP5" i="1"/>
  <c r="AO5" i="1"/>
  <c r="AN5" i="1"/>
  <c r="AM5" i="1"/>
  <c r="AT5" i="1" l="1"/>
  <c r="AR5" i="1"/>
  <c r="AU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E3" authorId="0" shapeId="0" xr:uid="{25CB9595-2554-4ABA-BA63-2848C05035AA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F3" authorId="0" shapeId="0" xr:uid="{E223078F-2184-4E06-BD54-F56258635AF2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<sst xmlns="http://schemas.openxmlformats.org/spreadsheetml/2006/main" count="71" uniqueCount="63">
  <si>
    <t>COTIZACIÓN PROPUESTA_AGROVET_SETS PARRILEROS_04.06.26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</si>
  <si>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</si>
  <si>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</si>
  <si>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</si>
  <si>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</si>
  <si>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</si>
  <si>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</si>
  <si>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 xml:space="preserve">Costo uni. 
No IGV (S/.) </t>
  </si>
  <si>
    <t>Tiempo Entrega</t>
  </si>
  <si>
    <t>Detalles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</si>
  <si>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</si>
  <si>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</si>
  <si>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</si>
  <si>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</si>
  <si>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</si>
  <si>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</si>
  <si>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</si>
  <si>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</si>
  <si>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</si>
  <si>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</si>
  <si>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</si>
  <si>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</si>
  <si>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</si>
  <si>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</si>
  <si>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</si>
  <si>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</si>
  <si>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</si>
  <si>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</si>
  <si>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</si>
  <si>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</si>
  <si>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</si>
  <si>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</si>
  <si>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</si>
  <si>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</si>
  <si>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</si>
  <si>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</si>
  <si>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</si>
  <si>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</si>
  <si>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</si>
  <si>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</si>
  <si>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</si>
  <si>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</si>
  <si>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COIF-FB-2109</t>
  </si>
  <si>
    <t>SET PARRILLERO 2</t>
  </si>
  <si>
    <t>Imagen referencial</t>
  </si>
  <si>
    <t>5 a 7 
días útiles</t>
  </si>
  <si>
    <r>
      <rPr>
        <b/>
        <u/>
        <sz val="16"/>
        <rFont val="Arial"/>
        <family val="2"/>
      </rPr>
      <t>SET PARRILLERO 2</t>
    </r>
    <r>
      <rPr>
        <sz val="16"/>
        <rFont val="Arial"/>
        <family val="2"/>
      </rPr>
      <t xml:space="preserve">
Material: Acero
Incluye 1 espátula calada,1 pinza,1 trinche y estuche
Color: Plateado
Presentación: Bolsita individual 
</t>
    </r>
    <r>
      <rPr>
        <sz val="16"/>
        <color rgb="FFFF0000"/>
        <rFont val="Arial"/>
        <family val="2"/>
      </rPr>
      <t>*Incluye 1 logo a 1 color por 1 lado 
*Arte y diseño facilitado por el cliente</t>
    </r>
    <r>
      <rPr>
        <sz val="16"/>
        <rFont val="Arial"/>
        <family val="2"/>
      </rPr>
      <t xml:space="preserve"> </t>
    </r>
  </si>
  <si>
    <t>IMPORTACIONES FACUNDO</t>
  </si>
  <si>
    <t>FB-2109</t>
  </si>
  <si>
    <t xml:space="preserve">IMPORTACIONES FACUNDO 
75 a S/. 2350
Incluido IGV </t>
  </si>
  <si>
    <t xml:space="preserve">GRAMPHOS 
Pilar
Cel. 994 228 471
75 a S/. 120
1 logo a 1 color
/
JASOF
Cel. 953 515 375
Precio ref. se cogio de proyecto 4 TOPITOP 
Cantidad 45 und
Impresión en DTF 
S/.25 + IGV
Aplicación 
S/. 1 +IGV 
</t>
  </si>
  <si>
    <t>COTP</t>
  </si>
  <si>
    <t>SET PARRILLERO 1</t>
  </si>
  <si>
    <r>
      <rPr>
        <b/>
        <u/>
        <sz val="16"/>
        <rFont val="Arial"/>
        <family val="2"/>
      </rPr>
      <t>SET PARRILLERO 1</t>
    </r>
    <r>
      <rPr>
        <sz val="16"/>
        <rFont val="Arial"/>
        <family val="2"/>
      </rPr>
      <t xml:space="preserve">
Material: Acero
Incluye 1 pinza, 1 cuchillo, 1 trinche y estuche de nylon
Color: Plateado
Presentación: Bolsita individual 
</t>
    </r>
    <r>
      <rPr>
        <sz val="16"/>
        <color rgb="FFFF0000"/>
        <rFont val="Arial"/>
        <family val="2"/>
      </rPr>
      <t xml:space="preserve">*Incluye 1 logo a 1 color por 1 lado  
*Arte y diseño facilitado por el cliente </t>
    </r>
  </si>
  <si>
    <r>
      <t xml:space="preserve">IMPORTACIONES FACUNDO
/
</t>
    </r>
    <r>
      <rPr>
        <b/>
        <sz val="11"/>
        <rFont val="Arial"/>
        <family val="2"/>
      </rPr>
      <t>TIENDA PUBLICITARIA</t>
    </r>
  </si>
  <si>
    <t>FB-2110
/
SIN COD</t>
  </si>
  <si>
    <t xml:space="preserve">IMPORTACIONES FACUNDO 
75 a S/. 2350
Incluido IGV 
/
TIENDA PUBLICITARIA 
75 a S/. 27.38
Incluido IGV </t>
  </si>
  <si>
    <t>SET PARRILLERO ASADOR</t>
  </si>
  <si>
    <r>
      <rPr>
        <b/>
        <u/>
        <sz val="16"/>
        <rFont val="Arial"/>
        <family val="2"/>
      </rPr>
      <t>SET PARRILLERO ASADOR</t>
    </r>
    <r>
      <rPr>
        <sz val="16"/>
        <rFont val="Arial"/>
        <family val="2"/>
      </rPr>
      <t xml:space="preserve">
Material: Acero/Madera
Incluye 1 pinza, 1 trinche, 1 espatula y estuche de lona 
Color: Natural 
Prsentación: Bolsita individual 
</t>
    </r>
    <r>
      <rPr>
        <sz val="16"/>
        <color rgb="FFFF0000"/>
        <rFont val="Arial"/>
        <family val="2"/>
      </rPr>
      <t xml:space="preserve">*Incluye 1 logo a 1 color por 1 lado 
*Arte y diseño facilitado por el cliente </t>
    </r>
  </si>
  <si>
    <t>TIENDA PUBLICITARIA</t>
  </si>
  <si>
    <t xml:space="preserve">SIN COD </t>
  </si>
  <si>
    <t xml:space="preserve">TIENDA PUBLICITARIA 
75 a S/. 34.83
Incluye IGV </t>
  </si>
  <si>
    <t xml:space="preserve">Costo total. 
No IGV (S/.)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</si>
</sst>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$-409]* #,##0.00_ ;_-[$$-409]* \-#,##0.00\ ;_-[$$-409]* &quot;-&quot;??_ ;_-@_ "/>
    <numFmt numFmtId="165" formatCode="_(* #,##0_);_(* \(#,##0\);_(* &quot;-&quot;??_);_(@_)"/>
    <numFmt numFmtId="166" formatCode="&quot;S/.&quot;\ #,##0.00"/>
    <numFmt numFmtId="167" formatCode="_ &quot;S/.&quot;\ * #,##0.00_ ;_ &quot;S/.&quot;\ * \-#,##0.00_ ;_ &quot;S/.&quot;\ * &quot;-&quot;??_ ;_ @_ "/>
    <numFmt numFmtId="168" formatCode="[$S/.-280A]\ #,##0.00"/>
    <numFmt numFmtId="169" formatCode="_-[$S/-280A]\ * #,##0.00_-;\-[$S/-280A]\ * #,##0.00_-;_-[$S/-280A]\ * &quot;-&quot;??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Arial"/>
      <family val="2"/>
    </font>
    <font>
      <sz val="11"/>
      <color indexed="8"/>
      <name val="Calibri"/>
      <family val="2"/>
    </font>
    <font>
      <sz val="16"/>
      <name val="Arial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b/>
      <u/>
      <sz val="16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color rgb="FFFF000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rgb="FFC00000"/>
      <name val="Calibri"/>
      <family val="2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11"/>
      <color rgb="FFFF0000"/>
      <name val="Arial"/>
      <family val="2"/>
    </font>
    <font>
      <sz val="16"/>
      <color rgb="FFFF0000"/>
      <name val="Arial"/>
      <family val="2"/>
    </font>
    <font>
      <b/>
      <sz val="11"/>
      <name val="Arial"/>
      <family val="2"/>
    </font>
    <font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rgb="FF000000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164" fontId="12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2" fillId="0" borderId="0" xfId="1"/>
    <xf numFmtId="0" fontId="2" fillId="4" borderId="0" xfId="1" applyFill="1"/>
    <xf numFmtId="0" fontId="6" fillId="5" borderId="5" xfId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0" fontId="4" fillId="6" borderId="5" xfId="1" applyFont="1" applyFill="1" applyBorder="1" applyAlignment="1">
      <alignment horizontal="center" vertical="center" wrapText="1"/>
    </xf>
    <xf numFmtId="0" fontId="4" fillId="6" borderId="6" xfId="1" applyFont="1" applyFill="1" applyBorder="1" applyAlignment="1">
      <alignment horizontal="center" vertical="center" wrapText="1"/>
    </xf>
    <xf numFmtId="0" fontId="4" fillId="6" borderId="7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7" fillId="5" borderId="5" xfId="1" applyFont="1" applyFill="1" applyBorder="1" applyAlignment="1">
      <alignment horizontal="center" vertical="center" wrapText="1"/>
    </xf>
    <xf numFmtId="0" fontId="6" fillId="7" borderId="5" xfId="1" applyFont="1" applyFill="1" applyBorder="1" applyAlignment="1">
      <alignment horizontal="center" vertical="center" wrapText="1"/>
    </xf>
    <xf numFmtId="0" fontId="8" fillId="7" borderId="6" xfId="1" applyFont="1" applyFill="1" applyBorder="1" applyAlignment="1">
      <alignment horizontal="center" vertical="center" wrapText="1"/>
    </xf>
    <xf numFmtId="9" fontId="8" fillId="7" borderId="7" xfId="1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wrapText="1"/>
    </xf>
    <xf numFmtId="0" fontId="9" fillId="0" borderId="0" xfId="0" applyFont="1"/>
    <xf numFmtId="0" fontId="10" fillId="8" borderId="8" xfId="0" applyFont="1" applyFill="1" applyBorder="1" applyAlignment="1">
      <alignment horizontal="center" wrapText="1"/>
    </xf>
    <xf numFmtId="166" fontId="28" fillId="0" borderId="0" xfId="0" applyNumberFormat="1" applyFont="1"/>
    <xf numFmtId="168" fontId="29" fillId="0" borderId="9" xfId="4" applyNumberFormat="1" applyFont="1" applyBorder="1" applyAlignment="1">
      <alignment horizontal="center" vertical="center"/>
    </xf>
    <xf numFmtId="168" fontId="28" fillId="0" borderId="9" xfId="0" applyNumberFormat="1" applyFont="1" applyBorder="1" applyAlignment="1">
      <alignment horizontal="center" vertical="center"/>
    </xf>
    <xf numFmtId="168" fontId="29" fillId="0" borderId="9" xfId="0" applyNumberFormat="1" applyFont="1" applyBorder="1" applyAlignment="1">
      <alignment horizontal="center" vertical="center"/>
    </xf>
    <xf numFmtId="0" fontId="28" fillId="0" borderId="0" xfId="0" applyFont="1"/>
    <xf numFmtId="2" fontId="30" fillId="0" borderId="9" xfId="0" applyNumberFormat="1" applyFont="1" applyBorder="1" applyAlignment="1">
      <alignment horizontal="center" vertical="center"/>
    </xf>
    <xf numFmtId="49" fontId="17" fillId="2" borderId="3" xfId="1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167" fontId="19" fillId="2" borderId="3" xfId="1" applyNumberFormat="1" applyFont="1" applyFill="1" applyBorder="1" applyAlignment="1">
      <alignment horizontal="center" vertical="center" wrapText="1"/>
    </xf>
    <xf numFmtId="168" fontId="20" fillId="9" borderId="3" xfId="1" applyNumberFormat="1" applyFont="1" applyFill="1" applyBorder="1" applyAlignment="1">
      <alignment horizontal="center" vertical="center"/>
    </xf>
    <xf numFmtId="0" fontId="21" fillId="10" borderId="3" xfId="1" applyFont="1" applyFill="1" applyBorder="1" applyAlignment="1">
      <alignment horizontal="center" vertical="center"/>
    </xf>
    <xf numFmtId="168" fontId="22" fillId="11" borderId="3" xfId="1" applyNumberFormat="1" applyFont="1" applyFill="1" applyBorder="1" applyAlignment="1">
      <alignment horizontal="center" vertical="center"/>
    </xf>
    <xf numFmtId="166" fontId="23" fillId="11" borderId="3" xfId="1" applyNumberFormat="1" applyFont="1" applyFill="1" applyBorder="1" applyAlignment="1">
      <alignment horizontal="center" vertical="center"/>
    </xf>
    <xf numFmtId="166" fontId="24" fillId="11" borderId="3" xfId="1" applyNumberFormat="1" applyFont="1" applyFill="1" applyBorder="1" applyAlignment="1">
      <alignment horizontal="center" vertical="center"/>
    </xf>
    <xf numFmtId="166" fontId="22" fillId="11" borderId="3" xfId="1" applyNumberFormat="1" applyFont="1" applyFill="1" applyBorder="1" applyAlignment="1">
      <alignment horizontal="center" vertical="center"/>
    </xf>
    <xf numFmtId="166" fontId="20" fillId="12" borderId="8" xfId="1" applyNumberFormat="1" applyFont="1" applyFill="1" applyBorder="1" applyAlignment="1">
      <alignment horizontal="center" vertical="center"/>
    </xf>
    <xf numFmtId="166" fontId="25" fillId="2" borderId="3" xfId="1" applyNumberFormat="1" applyFont="1" applyFill="1" applyBorder="1" applyAlignment="1">
      <alignment horizontal="center" vertical="center"/>
    </xf>
    <xf numFmtId="166" fontId="20" fillId="12" borderId="3" xfId="1" applyNumberFormat="1" applyFont="1" applyFill="1" applyBorder="1" applyAlignment="1">
      <alignment horizontal="center" vertical="center"/>
    </xf>
    <xf numFmtId="0" fontId="22" fillId="10" borderId="3" xfId="1" applyFont="1" applyFill="1" applyBorder="1" applyAlignment="1">
      <alignment horizontal="center" vertical="center"/>
    </xf>
    <xf numFmtId="166" fontId="26" fillId="2" borderId="3" xfId="1" applyNumberFormat="1" applyFont="1" applyFill="1" applyBorder="1" applyAlignment="1">
      <alignment horizontal="center" vertical="center"/>
    </xf>
    <xf numFmtId="166" fontId="22" fillId="10" borderId="3" xfId="1" applyNumberFormat="1" applyFont="1" applyFill="1" applyBorder="1" applyAlignment="1">
      <alignment horizontal="center" vertical="center"/>
    </xf>
    <xf numFmtId="166" fontId="22" fillId="2" borderId="3" xfId="1" applyNumberFormat="1" applyFont="1" applyFill="1" applyBorder="1" applyAlignment="1">
      <alignment horizontal="center" vertical="center"/>
    </xf>
    <xf numFmtId="166" fontId="22" fillId="0" borderId="3" xfId="1" applyNumberFormat="1" applyFont="1" applyBorder="1" applyAlignment="1">
      <alignment horizontal="center" vertical="center"/>
    </xf>
    <xf numFmtId="166" fontId="27" fillId="13" borderId="3" xfId="1" applyNumberFormat="1" applyFont="1" applyFill="1" applyBorder="1" applyAlignment="1">
      <alignment horizontal="center" vertical="center"/>
    </xf>
    <xf numFmtId="168" fontId="22" fillId="2" borderId="3" xfId="2" applyNumberFormat="1" applyFont="1" applyFill="1" applyBorder="1" applyAlignment="1">
      <alignment horizontal="center" vertical="center"/>
    </xf>
    <xf numFmtId="168" fontId="25" fillId="2" borderId="4" xfId="1" applyNumberFormat="1" applyFont="1" applyFill="1" applyBorder="1" applyAlignment="1">
      <alignment horizontal="center" vertical="center"/>
    </xf>
    <xf numFmtId="49" fontId="17" fillId="4" borderId="2" xfId="1" applyNumberFormat="1" applyFont="1" applyFill="1" applyBorder="1" applyAlignment="1">
      <alignment horizontal="center" vertical="center" wrapText="1"/>
    </xf>
    <xf numFmtId="49" fontId="17" fillId="4" borderId="10" xfId="1" applyNumberFormat="1" applyFont="1" applyFill="1" applyBorder="1" applyAlignment="1">
      <alignment horizontal="center" vertical="center" wrapText="1"/>
    </xf>
    <xf numFmtId="49" fontId="17" fillId="2" borderId="11" xfId="1" applyNumberFormat="1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167" fontId="19" fillId="2" borderId="11" xfId="1" applyNumberFormat="1" applyFont="1" applyFill="1" applyBorder="1" applyAlignment="1">
      <alignment horizontal="center" vertical="center" wrapText="1"/>
    </xf>
    <xf numFmtId="168" fontId="20" fillId="9" borderId="11" xfId="1" applyNumberFormat="1" applyFont="1" applyFill="1" applyBorder="1" applyAlignment="1">
      <alignment horizontal="center" vertical="center"/>
    </xf>
    <xf numFmtId="0" fontId="21" fillId="10" borderId="11" xfId="1" applyFont="1" applyFill="1" applyBorder="1" applyAlignment="1">
      <alignment horizontal="center" vertical="center"/>
    </xf>
    <xf numFmtId="168" fontId="22" fillId="11" borderId="11" xfId="1" applyNumberFormat="1" applyFont="1" applyFill="1" applyBorder="1" applyAlignment="1">
      <alignment horizontal="center" vertical="center"/>
    </xf>
    <xf numFmtId="166" fontId="23" fillId="11" borderId="11" xfId="1" applyNumberFormat="1" applyFont="1" applyFill="1" applyBorder="1" applyAlignment="1">
      <alignment horizontal="center" vertical="center"/>
    </xf>
    <xf numFmtId="166" fontId="24" fillId="11" borderId="11" xfId="1" applyNumberFormat="1" applyFont="1" applyFill="1" applyBorder="1" applyAlignment="1">
      <alignment horizontal="center" vertical="center"/>
    </xf>
    <xf numFmtId="166" fontId="22" fillId="11" borderId="11" xfId="1" applyNumberFormat="1" applyFont="1" applyFill="1" applyBorder="1" applyAlignment="1">
      <alignment horizontal="center" vertical="center"/>
    </xf>
    <xf numFmtId="166" fontId="20" fillId="12" borderId="16" xfId="1" applyNumberFormat="1" applyFont="1" applyFill="1" applyBorder="1" applyAlignment="1">
      <alignment horizontal="center" vertical="center"/>
    </xf>
    <xf numFmtId="166" fontId="25" fillId="2" borderId="11" xfId="1" applyNumberFormat="1" applyFont="1" applyFill="1" applyBorder="1" applyAlignment="1">
      <alignment horizontal="center" vertical="center"/>
    </xf>
    <xf numFmtId="0" fontId="22" fillId="10" borderId="11" xfId="1" applyFont="1" applyFill="1" applyBorder="1" applyAlignment="1">
      <alignment horizontal="center" vertical="center"/>
    </xf>
    <xf numFmtId="166" fontId="26" fillId="2" borderId="11" xfId="1" applyNumberFormat="1" applyFont="1" applyFill="1" applyBorder="1" applyAlignment="1">
      <alignment horizontal="center" vertical="center"/>
    </xf>
    <xf numFmtId="166" fontId="22" fillId="10" borderId="11" xfId="1" applyNumberFormat="1" applyFont="1" applyFill="1" applyBorder="1" applyAlignment="1">
      <alignment horizontal="center" vertical="center"/>
    </xf>
    <xf numFmtId="166" fontId="22" fillId="2" borderId="11" xfId="1" applyNumberFormat="1" applyFont="1" applyFill="1" applyBorder="1" applyAlignment="1">
      <alignment horizontal="center" vertical="center"/>
    </xf>
    <xf numFmtId="166" fontId="22" fillId="0" borderId="11" xfId="1" applyNumberFormat="1" applyFont="1" applyBorder="1" applyAlignment="1">
      <alignment horizontal="center" vertical="center"/>
    </xf>
    <xf numFmtId="166" fontId="27" fillId="13" borderId="11" xfId="1" applyNumberFormat="1" applyFont="1" applyFill="1" applyBorder="1" applyAlignment="1">
      <alignment horizontal="center" vertical="center"/>
    </xf>
    <xf numFmtId="168" fontId="22" fillId="2" borderId="11" xfId="2" applyNumberFormat="1" applyFont="1" applyFill="1" applyBorder="1" applyAlignment="1">
      <alignment horizontal="center" vertical="center"/>
    </xf>
    <xf numFmtId="168" fontId="25" fillId="2" borderId="12" xfId="1" applyNumberFormat="1" applyFont="1" applyFill="1" applyBorder="1" applyAlignment="1">
      <alignment horizontal="center" vertical="center"/>
    </xf>
    <xf numFmtId="49" fontId="17" fillId="4" borderId="13" xfId="1" applyNumberFormat="1" applyFont="1" applyFill="1" applyBorder="1" applyAlignment="1">
      <alignment horizontal="center" vertical="center" wrapText="1"/>
    </xf>
    <xf numFmtId="49" fontId="17" fillId="2" borderId="14" xfId="1" applyNumberFormat="1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67" fontId="19" fillId="2" borderId="14" xfId="1" applyNumberFormat="1" applyFont="1" applyFill="1" applyBorder="1" applyAlignment="1">
      <alignment horizontal="center" vertical="center" wrapText="1"/>
    </xf>
    <xf numFmtId="168" fontId="20" fillId="9" borderId="14" xfId="1" applyNumberFormat="1" applyFont="1" applyFill="1" applyBorder="1" applyAlignment="1">
      <alignment horizontal="center" vertical="center"/>
    </xf>
    <xf numFmtId="0" fontId="21" fillId="10" borderId="14" xfId="1" applyFont="1" applyFill="1" applyBorder="1" applyAlignment="1">
      <alignment horizontal="center" vertical="center"/>
    </xf>
    <xf numFmtId="168" fontId="22" fillId="11" borderId="14" xfId="1" applyNumberFormat="1" applyFont="1" applyFill="1" applyBorder="1" applyAlignment="1">
      <alignment horizontal="center" vertical="center"/>
    </xf>
    <xf numFmtId="166" fontId="23" fillId="11" borderId="14" xfId="1" applyNumberFormat="1" applyFont="1" applyFill="1" applyBorder="1" applyAlignment="1">
      <alignment horizontal="center" vertical="center"/>
    </xf>
    <xf numFmtId="166" fontId="24" fillId="11" borderId="14" xfId="1" applyNumberFormat="1" applyFont="1" applyFill="1" applyBorder="1" applyAlignment="1">
      <alignment horizontal="center" vertical="center"/>
    </xf>
    <xf numFmtId="166" fontId="22" fillId="11" borderId="14" xfId="1" applyNumberFormat="1" applyFont="1" applyFill="1" applyBorder="1" applyAlignment="1">
      <alignment horizontal="center" vertical="center"/>
    </xf>
    <xf numFmtId="166" fontId="20" fillId="12" borderId="14" xfId="1" applyNumberFormat="1" applyFont="1" applyFill="1" applyBorder="1" applyAlignment="1">
      <alignment horizontal="center" vertical="center"/>
    </xf>
    <xf numFmtId="166" fontId="25" fillId="2" borderId="14" xfId="1" applyNumberFormat="1" applyFont="1" applyFill="1" applyBorder="1" applyAlignment="1">
      <alignment horizontal="center" vertical="center"/>
    </xf>
    <xf numFmtId="0" fontId="22" fillId="10" borderId="14" xfId="1" applyFont="1" applyFill="1" applyBorder="1" applyAlignment="1">
      <alignment horizontal="center" vertical="center"/>
    </xf>
    <xf numFmtId="166" fontId="26" fillId="2" borderId="14" xfId="1" applyNumberFormat="1" applyFont="1" applyFill="1" applyBorder="1" applyAlignment="1">
      <alignment horizontal="center" vertical="center"/>
    </xf>
    <xf numFmtId="166" fontId="22" fillId="10" borderId="14" xfId="1" applyNumberFormat="1" applyFont="1" applyFill="1" applyBorder="1" applyAlignment="1">
      <alignment horizontal="center" vertical="center"/>
    </xf>
    <xf numFmtId="166" fontId="22" fillId="2" borderId="14" xfId="1" applyNumberFormat="1" applyFont="1" applyFill="1" applyBorder="1" applyAlignment="1">
      <alignment horizontal="center" vertical="center"/>
    </xf>
    <xf numFmtId="166" fontId="22" fillId="0" borderId="14" xfId="1" applyNumberFormat="1" applyFont="1" applyBorder="1" applyAlignment="1">
      <alignment horizontal="center" vertical="center"/>
    </xf>
    <xf numFmtId="166" fontId="27" fillId="13" borderId="14" xfId="1" applyNumberFormat="1" applyFont="1" applyFill="1" applyBorder="1" applyAlignment="1">
      <alignment horizontal="center" vertical="center"/>
    </xf>
    <xf numFmtId="168" fontId="22" fillId="2" borderId="14" xfId="2" applyNumberFormat="1" applyFont="1" applyFill="1" applyBorder="1" applyAlignment="1">
      <alignment horizontal="center" vertical="center"/>
    </xf>
    <xf numFmtId="168" fontId="25" fillId="2" borderId="15" xfId="1" applyNumberFormat="1" applyFont="1" applyFill="1" applyBorder="1" applyAlignment="1">
      <alignment horizontal="center" vertical="center"/>
    </xf>
    <xf numFmtId="165" fontId="21" fillId="0" borderId="17" xfId="3" applyNumberFormat="1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center" wrapText="1"/>
    </xf>
    <xf numFmtId="0" fontId="14" fillId="0" borderId="17" xfId="1" applyFont="1" applyBorder="1" applyAlignment="1">
      <alignment horizontal="center" vertical="center" wrapText="1"/>
    </xf>
    <xf numFmtId="166" fontId="14" fillId="0" borderId="17" xfId="1" applyNumberFormat="1" applyFont="1" applyBorder="1" applyAlignment="1">
      <alignment horizontal="center" vertical="center" wrapText="1"/>
    </xf>
    <xf numFmtId="0" fontId="15" fillId="4" borderId="17" xfId="1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165" fontId="21" fillId="0" borderId="19" xfId="3" applyNumberFormat="1" applyFont="1" applyFill="1" applyBorder="1" applyAlignment="1">
      <alignment horizontal="center" vertical="center" wrapText="1"/>
    </xf>
    <xf numFmtId="0" fontId="32" fillId="0" borderId="19" xfId="0" applyFont="1" applyBorder="1" applyAlignment="1">
      <alignment horizontal="center" wrapText="1"/>
    </xf>
    <xf numFmtId="0" fontId="14" fillId="0" borderId="19" xfId="1" applyFont="1" applyBorder="1" applyAlignment="1">
      <alignment horizontal="center" vertical="center" wrapText="1"/>
    </xf>
    <xf numFmtId="166" fontId="14" fillId="0" borderId="19" xfId="1" applyNumberFormat="1" applyFont="1" applyBorder="1" applyAlignment="1">
      <alignment horizontal="center" vertical="center" wrapText="1"/>
    </xf>
    <xf numFmtId="0" fontId="15" fillId="4" borderId="19" xfId="1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165" fontId="21" fillId="0" borderId="22" xfId="3" applyNumberFormat="1" applyFont="1" applyFill="1" applyBorder="1" applyAlignment="1">
      <alignment horizontal="center" vertical="center" wrapText="1"/>
    </xf>
    <xf numFmtId="0" fontId="32" fillId="0" borderId="22" xfId="0" applyFont="1" applyBorder="1" applyAlignment="1">
      <alignment horizontal="center" wrapText="1"/>
    </xf>
    <xf numFmtId="0" fontId="14" fillId="0" borderId="22" xfId="1" applyFont="1" applyBorder="1" applyAlignment="1">
      <alignment horizontal="center" vertical="center" wrapText="1"/>
    </xf>
    <xf numFmtId="166" fontId="14" fillId="0" borderId="22" xfId="1" applyNumberFormat="1" applyFont="1" applyBorder="1" applyAlignment="1">
      <alignment horizontal="center" vertical="center" wrapText="1"/>
    </xf>
    <xf numFmtId="0" fontId="15" fillId="4" borderId="22" xfId="1" applyFont="1" applyFill="1" applyBorder="1" applyAlignment="1">
      <alignment horizontal="center" vertical="center" wrapText="1"/>
    </xf>
    <xf numFmtId="166" fontId="2" fillId="4" borderId="3" xfId="1" applyNumberForma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5" fillId="3" borderId="23" xfId="1" applyFont="1" applyFill="1" applyBorder="1" applyAlignment="1">
      <alignment horizontal="center" vertical="center" wrapText="1"/>
    </xf>
    <xf numFmtId="0" fontId="5" fillId="3" borderId="24" xfId="1" applyFont="1" applyFill="1" applyBorder="1" applyAlignment="1">
      <alignment horizontal="center" vertical="center" wrapText="1"/>
    </xf>
    <xf numFmtId="0" fontId="5" fillId="3" borderId="24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 wrapText="1"/>
    </xf>
    <xf numFmtId="0" fontId="3" fillId="2" borderId="26" xfId="1" applyFont="1" applyFill="1" applyBorder="1" applyAlignment="1">
      <alignment horizontal="center" vertical="center" wrapText="1"/>
    </xf>
    <xf numFmtId="0" fontId="3" fillId="2" borderId="27" xfId="1" applyFont="1" applyFill="1" applyBorder="1" applyAlignment="1">
      <alignment horizontal="center" vertical="center" wrapText="1"/>
    </xf>
    <xf numFmtId="0" fontId="3" fillId="2" borderId="28" xfId="1" applyFont="1" applyFill="1" applyBorder="1" applyAlignment="1">
      <alignment horizontal="center" vertical="center" wrapText="1"/>
    </xf>
    <xf numFmtId="0" fontId="13" fillId="0" borderId="29" xfId="1" applyFont="1" applyBorder="1" applyAlignment="1">
      <alignment horizontal="left" vertical="center" wrapText="1"/>
    </xf>
    <xf numFmtId="0" fontId="13" fillId="0" borderId="30" xfId="1" applyFont="1" applyBorder="1" applyAlignment="1">
      <alignment horizontal="left" vertical="center" wrapText="1"/>
    </xf>
    <xf numFmtId="0" fontId="13" fillId="0" borderId="31" xfId="1" applyFont="1" applyBorder="1" applyAlignment="1">
      <alignment horizontal="left" vertical="center" wrapText="1"/>
    </xf>
    <xf numFmtId="169" fontId="35" fillId="0" borderId="8" xfId="0" applyNumberFormat="1" applyFont="1" applyBorder="1" applyAlignment="1">
      <alignment horizontal="center" vertical="center"/>
    </xf>
  </cellXfs>
  <cellStyles count="5">
    <cellStyle name="Millares 2 2 3 2 2 2 2" xfId="3" xr:uid="{F7E60544-9B7B-4965-8594-A17BA5B04144}"/>
    <cellStyle name="Normal" xfId="0" builtinId="0"/>
    <cellStyle name="Normal 2 2" xfId="1" xr:uid="{09CDDBA8-B257-47B1-B8F8-22A9807664B0}"/>
    <cellStyle name="Normal 2 3 2 2" xfId="4" xr:uid="{B023465E-0C35-4294-96EC-BEC4A8C1522E}"/>
    <cellStyle name="Normal 3 4 2" xfId="2" xr:uid="{085405EE-F8D7-452B-B5E2-811EC833FB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190499</xdr:colOff>
      <xdr:row>4</xdr:row>
      <xdr:rowOff>352425</xdr:rowOff>
    </xdr:from>
    <xdr:to>
      <xdr:col>4</xdr:col>
      <xdr:colOff>2247900</xdr:colOff>
      <xdr:row>4</xdr:row>
      <xdr:rowOff>2245233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F33902-868C-6E47-E5EE-85F5B5585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2774" y="1381125"/>
          <a:ext cx="2057401" cy="1892808"/>
        </a:xfrm>
        <a:prstGeom prst="rect">
          <a:avLst/>
        </a:prstGeom>
      </xdr:spPr>
    </xdr:pic>
    <xdr:clientData/>
  </xdr:twoCellAnchor>
  <xdr:twoCellAnchor editAs="oneCell">
    <xdr:from>
      <xdr:col>4</xdr:col>
      <xdr:colOff>222250</xdr:colOff>
      <xdr:row>5</xdr:row>
      <xdr:rowOff>275166</xdr:rowOff>
    </xdr:from>
    <xdr:to>
      <xdr:col>4</xdr:col>
      <xdr:colOff>2349500</xdr:colOff>
      <xdr:row>5</xdr:row>
      <xdr:rowOff>2271363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3D9CB9-77FD-4A2E-962B-390AA611A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85583" y="6360583"/>
          <a:ext cx="2127250" cy="1996197"/>
        </a:xfrm>
        <a:prstGeom prst="rect">
          <a:avLst/>
        </a:prstGeom>
      </xdr:spPr>
    </xdr:pic>
    <xdr:clientData/>
  </xdr:twoCellAnchor>
  <xdr:oneCellAnchor>
    <xdr:from>
      <xdr:col>4</xdr:col>
      <xdr:colOff>247649</xdr:colOff>
      <xdr:row>3</xdr:row>
      <xdr:rowOff>190500</xdr:rowOff>
    </xdr:from>
    <xdr:ext cx="1952625" cy="1978150"/>
    <xdr:pic>
      <xdr:nvPicPr>
        <xdr:cNvPr id="6" name="Imagen 5">
          <a:extLst>
            <a:ext uri="{FF2B5EF4-FFF2-40B4-BE49-F238E27FC236}">
              <a16:creationId xmlns:a16="http://schemas.microsoft.com/office/drawing/2014/main" id="{79BDB9BB-0D00-4D03-8BF5-5E0864E87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10982" y="4201583"/>
          <a:ext cx="1952625" cy="1978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D9CA-84EC-4FE9-AE90-2B97055C16DE}">
  <dimension ref="B1:AU6"/>
  <sheetViews>
    <sheetView tabSelected="1" zoomScale="70" zoomScaleNormal="70" workbookViewId="0">
      <selection activeCell="I6" sqref="I6"/>
    </sheetView>
  </sheetViews>
  <sheetFormatPr baseColWidth="10" defaultColWidth="11.42578125" defaultRowHeight="15" x14ac:dyDescent="0.25"/>
  <cols>
    <col min="1" max="1" width="5.85546875" customWidth="1"/>
    <col min="2" max="2" width="8.5703125" customWidth="1"/>
    <col min="3" max="3" width="13" customWidth="1"/>
    <col min="4" max="4" width="22.7109375" customWidth="1"/>
    <col min="5" max="5" width="39.42578125" customWidth="1"/>
    <col min="7" max="7" width="21.140625" customWidth="1"/>
    <col min="8" max="8" width="18.85546875" customWidth="1"/>
    <col min="9" max="9" width="69.28515625" customWidth="1"/>
    <col min="10" max="10" width="22.7109375" customWidth="1"/>
    <col min="12" max="12" width="25.7109375" customWidth="1"/>
    <col min="13" max="13" width="14.85546875" customWidth="1"/>
    <col min="14" max="14" width="29" customWidth="1"/>
    <col min="16" max="16" width="16.42578125" customWidth="1"/>
    <col min="17" max="17" width="13.7109375" customWidth="1"/>
    <col min="18" max="18" width="21.85546875" customWidth="1"/>
    <col min="19" max="19" width="20.140625" customWidth="1"/>
    <col min="20" max="20" width="23.85546875" customWidth="1"/>
    <col min="22" max="22" width="17.28515625" customWidth="1"/>
    <col min="23" max="23" width="18.85546875" customWidth="1"/>
    <col min="24" max="24" width="19.140625" customWidth="1"/>
    <col min="25" max="25" width="39.42578125" customWidth="1"/>
    <col min="26" max="26" width="19.140625" customWidth="1"/>
    <col min="30" max="30" width="18.140625" customWidth="1"/>
    <col min="31" max="31" width="16.5703125" customWidth="1"/>
    <col min="32" max="32" width="17.5703125" customWidth="1"/>
    <col min="33" max="33" width="17.140625" customWidth="1"/>
    <col min="34" max="34" width="19" customWidth="1"/>
    <col min="35" max="35" width="16.7109375" customWidth="1"/>
    <col min="36" max="36" width="17.140625" customWidth="1"/>
    <col min="39" max="39" width="22.42578125" customWidth="1"/>
    <col min="40" max="40" width="15.85546875" customWidth="1"/>
    <col min="41" max="41" width="15.7109375" customWidth="1"/>
    <col min="42" max="42" width="14.85546875" customWidth="1"/>
    <col min="43" max="43" width="19.42578125" customWidth="1"/>
    <col min="44" max="44" width="19" customWidth="1"/>
    <col min="46" max="46" width="15.85546875" customWidth="1"/>
    <col min="47" max="47" width="15.5703125" customWidth="1"/>
  </cols>
  <sheetData>
    <row r="1" spans="2:47" ht="15.75" thickBot="1" x14ac:dyDescent="0.3"/>
    <row r="2" spans="2:47" ht="29.45" customHeight="1" thickBot="1" x14ac:dyDescent="0.3">
      <c r="B2" s="110" t="s">
        <v>0</v>
      </c>
      <c r="C2" s="111"/>
      <c r="D2" s="111"/>
      <c r="E2" s="111"/>
      <c r="F2" s="111"/>
      <c r="G2" s="111"/>
      <c r="H2" s="111"/>
      <c r="I2" s="111"/>
      <c r="J2" s="112"/>
      <c r="K2" s="1"/>
      <c r="L2" s="105" t="s">
        <v>1</v>
      </c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"/>
      <c r="AD2" s="1"/>
      <c r="AE2" s="1"/>
      <c r="AF2" s="1"/>
      <c r="AG2" s="1"/>
      <c r="AH2" s="1"/>
      <c r="AI2" s="1"/>
      <c r="AJ2" s="1"/>
    </row>
    <row r="3" spans="2:47" ht="36" customHeight="1" thickBot="1" x14ac:dyDescent="0.3">
      <c r="B3" s="106" t="s">
        <v>2</v>
      </c>
      <c r="C3" s="107" t="s">
        <v>3</v>
      </c>
      <c r="D3" s="107" t="s">
        <v>4</v>
      </c>
      <c r="E3" s="107" t="s">
        <v>5</v>
      </c>
      <c r="F3" s="107" t="s">
        <v>6</v>
      </c>
      <c r="G3" s="108" t="s">
        <v>7</v>
      </c>
      <c r="H3" s="108" t="s">
        <v>8</v>
      </c>
      <c r="I3" s="109" t="s">
        <v>9</v>
      </c>
      <c r="J3" s="108" t="s">
        <v>62</v>
      </c>
      <c r="K3" s="2"/>
      <c r="L3" s="3" t="s">
        <v>10</v>
      </c>
      <c r="M3" s="4" t="s">
        <v>11</v>
      </c>
      <c r="N3" s="4" t="s">
        <v>12</v>
      </c>
      <c r="O3" s="5" t="s">
        <v>13</v>
      </c>
      <c r="P3" s="6" t="s">
        <v>14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19</v>
      </c>
      <c r="V3" s="8" t="s">
        <v>20</v>
      </c>
      <c r="W3" s="3" t="s">
        <v>21</v>
      </c>
      <c r="X3" s="5" t="s">
        <v>22</v>
      </c>
      <c r="Y3" s="9" t="s">
        <v>23</v>
      </c>
      <c r="Z3" s="10" t="s">
        <v>24</v>
      </c>
      <c r="AA3" s="10" t="s">
        <v>25</v>
      </c>
      <c r="AB3" s="10" t="s">
        <v>26</v>
      </c>
      <c r="AC3" s="10" t="s">
        <v>27</v>
      </c>
      <c r="AD3" s="11" t="s">
        <v>28</v>
      </c>
      <c r="AE3" s="12" t="s">
        <v>29</v>
      </c>
      <c r="AF3" s="12" t="s">
        <v>30</v>
      </c>
      <c r="AG3" s="13" t="s">
        <v>18</v>
      </c>
      <c r="AH3" s="14" t="s">
        <v>31</v>
      </c>
      <c r="AI3" s="14" t="s">
        <v>32</v>
      </c>
      <c r="AJ3" s="15" t="s">
        <v>33</v>
      </c>
      <c r="AM3" s="16" t="s">
        <v>34</v>
      </c>
      <c r="AN3" s="16" t="s">
        <v>35</v>
      </c>
      <c r="AO3" s="16" t="s">
        <v>36</v>
      </c>
      <c r="AP3" s="16" t="s">
        <v>37</v>
      </c>
      <c r="AQ3" s="16" t="s">
        <v>38</v>
      </c>
      <c r="AR3" s="16" t="s">
        <v>39</v>
      </c>
      <c r="AS3" s="17"/>
      <c r="AT3" s="18" t="s">
        <v>40</v>
      </c>
      <c r="AU3" s="18" t="s">
        <v>41</v>
      </c>
    </row>
    <row r="4" spans="2:47" s="1" customFormat="1" ht="200.1" customHeight="1" thickBot="1" x14ac:dyDescent="0.3">
      <c r="B4" s="91">
        <v>1</v>
      </c>
      <c r="C4" s="92" t="s">
        <v>42</v>
      </c>
      <c r="D4" s="92" t="s">
        <v>43</v>
      </c>
      <c r="E4" s="93" t="s">
        <v>44</v>
      </c>
      <c r="F4" s="94">
        <v>75</v>
      </c>
      <c r="G4" s="95">
        <v>33.99</v>
      </c>
      <c r="H4" s="96" t="s">
        <v>45</v>
      </c>
      <c r="I4" s="113" t="s">
        <v>46</v>
      </c>
      <c r="J4" s="116">
        <f>G4*F4</f>
        <v>2549.25</v>
      </c>
      <c r="K4"/>
      <c r="L4" s="45" t="s">
        <v>47</v>
      </c>
      <c r="M4" s="25" t="s">
        <v>48</v>
      </c>
      <c r="N4" s="26" t="s">
        <v>49</v>
      </c>
      <c r="O4" s="27"/>
      <c r="P4" s="28">
        <f>24/1.15</f>
        <v>20.869565217391305</v>
      </c>
      <c r="Q4" s="29">
        <v>37.5</v>
      </c>
      <c r="R4" s="30">
        <f t="shared" ref="R4" si="0">P4*Q4/100</f>
        <v>7.8260869565217384</v>
      </c>
      <c r="S4" s="31">
        <f t="shared" ref="S4" si="1">R4*U4</f>
        <v>586.95652173913038</v>
      </c>
      <c r="T4" s="32">
        <f t="shared" ref="T4" si="2">P4+R4</f>
        <v>28.695652173913043</v>
      </c>
      <c r="U4" s="29">
        <f>F4</f>
        <v>75</v>
      </c>
      <c r="V4" s="33">
        <f>T4*1</f>
        <v>28.695652173913043</v>
      </c>
      <c r="W4" s="34">
        <v>120</v>
      </c>
      <c r="X4" s="35">
        <f t="shared" ref="X4" si="3">U4*T4+V4+W4</f>
        <v>2300.869565217391</v>
      </c>
      <c r="Y4" s="104" t="s">
        <v>50</v>
      </c>
      <c r="Z4" s="36">
        <f t="shared" ref="Z4:Z5" si="4">25*2+2*75</f>
        <v>200</v>
      </c>
      <c r="AA4" s="37">
        <v>1</v>
      </c>
      <c r="AB4" s="37">
        <v>1</v>
      </c>
      <c r="AC4" s="37">
        <v>1</v>
      </c>
      <c r="AD4" s="38">
        <f t="shared" ref="AD4" si="5">Z4*AA4*AB4*AC4</f>
        <v>200</v>
      </c>
      <c r="AE4" s="39">
        <f>3.5*5</f>
        <v>17.5</v>
      </c>
      <c r="AF4" s="40">
        <f>1%*(X4+AD4+AE4)</f>
        <v>25.18369565217391</v>
      </c>
      <c r="AG4" s="41">
        <f t="shared" ref="AG4" si="6">X4+AD4+AF4+AE4</f>
        <v>2543.5532608695648</v>
      </c>
      <c r="AH4" s="42">
        <f t="shared" ref="AH4" si="7">AG4/U4</f>
        <v>33.914043478260865</v>
      </c>
      <c r="AI4" s="43">
        <f t="shared" ref="AI4" si="8">AH4*18%</f>
        <v>6.1045278260869553</v>
      </c>
      <c r="AJ4" s="44">
        <f t="shared" ref="AJ4" si="9">AH4+AI4</f>
        <v>40.018571304347823</v>
      </c>
      <c r="AK4"/>
      <c r="AL4" s="19"/>
      <c r="AM4" s="20">
        <f t="shared" ref="AM4" si="10">AJ4*U4</f>
        <v>3001.3928478260868</v>
      </c>
      <c r="AN4" s="21">
        <f t="shared" ref="AN4" si="11">(AJ4-(AJ4/1.18))*U4</f>
        <v>457.83958695652132</v>
      </c>
      <c r="AO4" s="21">
        <f t="shared" ref="AO4" si="12">(AJ4-(AJ4/1.02))*U4</f>
        <v>58.850840153452921</v>
      </c>
      <c r="AP4" s="21">
        <f t="shared" ref="AP4" si="13">(AJ4-(AJ4/1.05))*U4</f>
        <v>142.92346894409943</v>
      </c>
      <c r="AQ4" s="21">
        <f t="shared" ref="AQ4" si="14">R4*U4</f>
        <v>586.95652173913038</v>
      </c>
      <c r="AR4" s="22">
        <f t="shared" ref="AR4" si="15">AQ4-AP4-AO4</f>
        <v>385.18221264157802</v>
      </c>
      <c r="AS4" s="23"/>
      <c r="AT4" s="24">
        <f t="shared" ref="AT4" si="16">AQ4*100/(AM4-AN4-AQ4)</f>
        <v>29.998850044081635</v>
      </c>
      <c r="AU4" s="24">
        <f t="shared" ref="AU4" si="17">AR4*100/(AM4-AN4-AQ4-AO4-AP4)</f>
        <v>21.949925305796338</v>
      </c>
    </row>
    <row r="5" spans="2:47" s="1" customFormat="1" ht="200.1" customHeight="1" thickBot="1" x14ac:dyDescent="0.3">
      <c r="B5" s="97">
        <v>2</v>
      </c>
      <c r="C5" s="86" t="s">
        <v>51</v>
      </c>
      <c r="D5" s="86" t="s">
        <v>52</v>
      </c>
      <c r="E5" s="87" t="s">
        <v>44</v>
      </c>
      <c r="F5" s="88">
        <v>75</v>
      </c>
      <c r="G5" s="89">
        <v>38.99</v>
      </c>
      <c r="H5" s="90" t="s">
        <v>45</v>
      </c>
      <c r="I5" s="114" t="s">
        <v>53</v>
      </c>
      <c r="J5" s="116">
        <f t="shared" ref="J5:J6" si="18">G5*F5</f>
        <v>2924.25</v>
      </c>
      <c r="K5"/>
      <c r="L5" s="66" t="s">
        <v>54</v>
      </c>
      <c r="M5" s="67" t="s">
        <v>55</v>
      </c>
      <c r="N5" s="68" t="s">
        <v>56</v>
      </c>
      <c r="O5" s="69"/>
      <c r="P5" s="70">
        <f>28/1.15</f>
        <v>24.347826086956523</v>
      </c>
      <c r="Q5" s="71">
        <v>38</v>
      </c>
      <c r="R5" s="72">
        <f t="shared" ref="R5" si="19">P5*Q5/100</f>
        <v>9.2521739130434781</v>
      </c>
      <c r="S5" s="73">
        <f t="shared" ref="S5" si="20">R5*U5</f>
        <v>693.91304347826087</v>
      </c>
      <c r="T5" s="74">
        <f t="shared" ref="T5" si="21">P5+R5</f>
        <v>33.6</v>
      </c>
      <c r="U5" s="71">
        <f>F5</f>
        <v>75</v>
      </c>
      <c r="V5" s="75">
        <f>T5*1</f>
        <v>33.6</v>
      </c>
      <c r="W5" s="76">
        <v>120</v>
      </c>
      <c r="X5" s="77">
        <f t="shared" ref="X5" si="22">U5*T5+V5+W5</f>
        <v>2673.6</v>
      </c>
      <c r="Y5" s="104" t="s">
        <v>50</v>
      </c>
      <c r="Z5" s="36">
        <f t="shared" si="4"/>
        <v>200</v>
      </c>
      <c r="AA5" s="78">
        <v>1</v>
      </c>
      <c r="AB5" s="78">
        <v>1</v>
      </c>
      <c r="AC5" s="78">
        <v>1</v>
      </c>
      <c r="AD5" s="79">
        <f t="shared" ref="AD5" si="23">Z5*AA5*AB5*AC5</f>
        <v>200</v>
      </c>
      <c r="AE5" s="80">
        <f>3.5*5</f>
        <v>17.5</v>
      </c>
      <c r="AF5" s="81">
        <f t="shared" ref="AF5" si="24">1%*(X5+AD5+AE5)</f>
        <v>28.911000000000001</v>
      </c>
      <c r="AG5" s="82">
        <f t="shared" ref="AG5" si="25">X5+AD5+AF5+AE5</f>
        <v>2920.011</v>
      </c>
      <c r="AH5" s="83">
        <f t="shared" ref="AH5" si="26">AG5/U5</f>
        <v>38.933480000000003</v>
      </c>
      <c r="AI5" s="84">
        <f t="shared" ref="AI5" si="27">AH5*18%</f>
        <v>7.0080264000000003</v>
      </c>
      <c r="AJ5" s="85">
        <f t="shared" ref="AJ5" si="28">AH5+AI5</f>
        <v>45.941506400000002</v>
      </c>
      <c r="AK5"/>
      <c r="AL5" s="19"/>
      <c r="AM5" s="20">
        <f t="shared" ref="AM5" si="29">AJ5*U5</f>
        <v>3445.6129800000003</v>
      </c>
      <c r="AN5" s="21">
        <f t="shared" ref="AN5" si="30">(AJ5-(AJ5/1.18))*U5</f>
        <v>525.60197999999991</v>
      </c>
      <c r="AO5" s="21">
        <f t="shared" ref="AO5" si="31">(AJ5-(AJ5/1.02))*U5</f>
        <v>67.561038823529344</v>
      </c>
      <c r="AP5" s="21">
        <f t="shared" ref="AP5" si="32">(AJ5-(AJ5/1.05))*U5</f>
        <v>164.0768085714285</v>
      </c>
      <c r="AQ5" s="21">
        <f t="shared" ref="AQ5" si="33">R5*U5</f>
        <v>693.91304347826087</v>
      </c>
      <c r="AR5" s="22">
        <f t="shared" ref="AR5" si="34">AQ5-AP5-AO5</f>
        <v>462.27519608330306</v>
      </c>
      <c r="AS5" s="23"/>
      <c r="AT5" s="24">
        <f>AQ5*100/(AM5-AN5-AQ5)</f>
        <v>31.17172096786318</v>
      </c>
      <c r="AU5" s="24">
        <f t="shared" ref="AU5" si="35">AR5*100/(AM5-AN5-AQ5-AO5-AP5)</f>
        <v>23.177961492832132</v>
      </c>
    </row>
    <row r="6" spans="2:47" s="1" customFormat="1" ht="200.1" customHeight="1" thickBot="1" x14ac:dyDescent="0.3">
      <c r="B6" s="98">
        <v>3</v>
      </c>
      <c r="C6" s="99" t="s">
        <v>51</v>
      </c>
      <c r="D6" s="99" t="s">
        <v>57</v>
      </c>
      <c r="E6" s="100" t="s">
        <v>44</v>
      </c>
      <c r="F6" s="101">
        <v>75</v>
      </c>
      <c r="G6" s="102">
        <v>47.89</v>
      </c>
      <c r="H6" s="103" t="s">
        <v>45</v>
      </c>
      <c r="I6" s="115" t="s">
        <v>58</v>
      </c>
      <c r="J6" s="116">
        <f t="shared" si="18"/>
        <v>3591.75</v>
      </c>
      <c r="K6"/>
      <c r="L6" s="46" t="s">
        <v>59</v>
      </c>
      <c r="M6" s="47" t="s">
        <v>60</v>
      </c>
      <c r="N6" s="48" t="s">
        <v>61</v>
      </c>
      <c r="O6" s="49"/>
      <c r="P6" s="50">
        <f>35/1.15</f>
        <v>30.434782608695656</v>
      </c>
      <c r="Q6" s="51">
        <v>38</v>
      </c>
      <c r="R6" s="52">
        <f t="shared" ref="R6" si="36">P6*Q6/100</f>
        <v>11.565217391304349</v>
      </c>
      <c r="S6" s="53">
        <f t="shared" ref="S6" si="37">R6*U6</f>
        <v>867.39130434782624</v>
      </c>
      <c r="T6" s="54">
        <f t="shared" ref="T6" si="38">P6+R6</f>
        <v>42.000000000000007</v>
      </c>
      <c r="U6" s="51">
        <f>F6</f>
        <v>75</v>
      </c>
      <c r="V6" s="55">
        <f t="shared" ref="V6" si="39">T6*1</f>
        <v>42.000000000000007</v>
      </c>
      <c r="W6" s="56">
        <v>120</v>
      </c>
      <c r="X6" s="57">
        <f t="shared" ref="X6" si="40">U6*T6+V6+W6</f>
        <v>3312.0000000000005</v>
      </c>
      <c r="Y6" s="104" t="s">
        <v>50</v>
      </c>
      <c r="Z6" s="36">
        <f>25*2+2*75</f>
        <v>200</v>
      </c>
      <c r="AA6" s="58">
        <v>1</v>
      </c>
      <c r="AB6" s="58">
        <v>1</v>
      </c>
      <c r="AC6" s="58">
        <v>1</v>
      </c>
      <c r="AD6" s="59">
        <f t="shared" ref="AD6" si="41">Z6*AA6*AB6*AC6</f>
        <v>200</v>
      </c>
      <c r="AE6" s="60">
        <f>3.5*5</f>
        <v>17.5</v>
      </c>
      <c r="AF6" s="61">
        <f t="shared" ref="AF6" si="42">1%*(X6+AD6+AE6)</f>
        <v>35.295000000000009</v>
      </c>
      <c r="AG6" s="62">
        <f t="shared" ref="AG6" si="43">X6+AD6+AF6+AE6</f>
        <v>3564.7950000000005</v>
      </c>
      <c r="AH6" s="63">
        <f t="shared" ref="AH6" si="44">AG6/U6</f>
        <v>47.530600000000007</v>
      </c>
      <c r="AI6" s="64">
        <f t="shared" ref="AI6" si="45">AH6*18%</f>
        <v>8.5555080000000014</v>
      </c>
      <c r="AJ6" s="65">
        <f t="shared" ref="AJ6" si="46">AH6+AI6</f>
        <v>56.08610800000001</v>
      </c>
      <c r="AK6"/>
      <c r="AL6" s="19"/>
      <c r="AM6" s="20">
        <f t="shared" ref="AM6" si="47">AJ6*U6</f>
        <v>4206.4581000000007</v>
      </c>
      <c r="AN6" s="21">
        <f t="shared" ref="AN6" si="48">(AJ6-(AJ6/1.18))*U6</f>
        <v>641.66309999999976</v>
      </c>
      <c r="AO6" s="21">
        <f t="shared" ref="AO6" si="49">(AJ6-(AJ6/1.02))*U6</f>
        <v>82.479570588235163</v>
      </c>
      <c r="AP6" s="21">
        <f t="shared" ref="AP6" si="50">(AJ6-(AJ6/1.05))*U6</f>
        <v>200.30752857142886</v>
      </c>
      <c r="AQ6" s="21">
        <f t="shared" ref="AQ6" si="51">R6*U6</f>
        <v>867.39130434782624</v>
      </c>
      <c r="AR6" s="22">
        <f t="shared" ref="AR6" si="52">AQ6-AP6-AO6</f>
        <v>584.60420518816227</v>
      </c>
      <c r="AS6" s="23"/>
      <c r="AT6" s="24">
        <f t="shared" ref="AT6" si="53">AQ6*100/(AM6-AN6-AQ6)</f>
        <v>32.156525393137692</v>
      </c>
      <c r="AU6" s="24">
        <f t="shared" ref="AU6" si="54">AR6*100/(AM6-AN6-AQ6-AO6-AP6)</f>
        <v>24.211057193815471</v>
      </c>
    </row>
  </sheetData>
  <mergeCells count="2">
    <mergeCell ref="L2:AB2"/>
    <mergeCell ref="B2:J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Juarez</dc:creator>
  <cp:keywords/>
  <dc:description/>
  <cp:lastModifiedBy>Yenyser Meza</cp:lastModifiedBy>
  <cp:revision/>
  <dcterms:created xsi:type="dcterms:W3CDTF">2026-06-03T21:22:41Z</dcterms:created>
  <dcterms:modified xsi:type="dcterms:W3CDTF">2026-06-05T16:07:11Z</dcterms:modified>
  <cp:category/>
  <cp:contentStatus/>
</cp:coreProperties>
</file>