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HELVETAS/BD Cotizaciones/2026/"/>
    </mc:Choice>
  </mc:AlternateContent>
  <xr:revisionPtr revIDLastSave="48" documentId="13_ncr:1_{1DD343C7-EA1D-4565-8D36-3F5CEB683959}" xr6:coauthVersionLast="47" xr6:coauthVersionMax="47" xr10:uidLastSave="{69DD4BC2-6C71-4878-A7B0-261E5EC5CC99}"/>
  <bookViews>
    <workbookView xWindow="1035" yWindow="3495" windowWidth="14400" windowHeight="11385" xr2:uid="{159802D8-237E-4CD7-8637-D45D8AE7086E}"/>
  </bookViews>
  <sheets>
    <sheet name="MAY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3" l="1"/>
  <c r="AA4" i="3"/>
  <c r="Q4" i="3"/>
  <c r="Q3" i="3"/>
  <c r="W4" i="3"/>
  <c r="W3" i="3"/>
  <c r="AE4" i="3" l="1"/>
  <c r="V4" i="3"/>
  <c r="AE3" i="3"/>
  <c r="V3" i="3"/>
  <c r="AA8" i="3"/>
  <c r="S4" i="3" l="1"/>
  <c r="T4" i="3" s="1"/>
  <c r="S3" i="3"/>
  <c r="T3" i="3" s="1"/>
  <c r="AA9" i="3"/>
  <c r="AF8" i="3"/>
  <c r="U4" i="3" l="1"/>
  <c r="Y4" i="3" s="1"/>
  <c r="AG4" i="3"/>
  <c r="AH4" i="3" s="1"/>
  <c r="AI4" i="3" s="1"/>
  <c r="U3" i="3"/>
  <c r="Y3" i="3" s="1"/>
  <c r="Q9" i="3"/>
  <c r="W9" i="3" s="1"/>
  <c r="Q8" i="3"/>
  <c r="W8" i="3" s="1"/>
  <c r="J4" i="3" l="1"/>
  <c r="K4" i="3" s="1"/>
  <c r="AJ4" i="3"/>
  <c r="AK4" i="3" s="1"/>
  <c r="AG3" i="3"/>
  <c r="AH3" i="3" s="1"/>
  <c r="AI3" i="3" s="1"/>
  <c r="AE9" i="3"/>
  <c r="V9" i="3"/>
  <c r="S9" i="3"/>
  <c r="U9" i="3" s="1"/>
  <c r="AE8" i="3"/>
  <c r="V8" i="3"/>
  <c r="S8" i="3"/>
  <c r="J3" i="3" l="1"/>
  <c r="K3" i="3" s="1"/>
  <c r="AJ3" i="3"/>
  <c r="AK3" i="3" s="1"/>
  <c r="T9" i="3"/>
  <c r="T8" i="3"/>
  <c r="Y9" i="3"/>
  <c r="AG9" i="3" s="1"/>
  <c r="U8" i="3"/>
  <c r="Y8" i="3" s="1"/>
  <c r="AG8" i="3" l="1"/>
  <c r="AH8" i="3" s="1"/>
  <c r="AI8" i="3" s="1"/>
  <c r="AH9" i="3"/>
  <c r="AI9" i="3" s="1"/>
  <c r="J8" i="3" l="1"/>
  <c r="K8" i="3" s="1"/>
  <c r="AJ8" i="3"/>
  <c r="AK8" i="3" s="1"/>
  <c r="J9" i="3"/>
  <c r="K9" i="3" s="1"/>
  <c r="AJ9" i="3"/>
  <c r="AK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 Karina</author>
  </authors>
  <commentList>
    <comment ref="AF3" authorId="0" shapeId="0" xr:uid="{C4C46D7F-D09E-4FAB-B9C1-9B9DB00D5CDA}">
      <text>
        <r>
          <rPr>
            <b/>
            <sz val="11"/>
            <color indexed="81"/>
            <rFont val="Tahoma"/>
            <family val="2"/>
          </rPr>
          <t>Por Caja entra 75 unid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F4" authorId="0" shapeId="0" xr:uid="{83FAABB8-14A6-45AE-962E-E81A932BE893}">
      <text>
        <r>
          <rPr>
            <b/>
            <sz val="11"/>
            <color indexed="81"/>
            <rFont val="Tahoma"/>
            <family val="2"/>
          </rPr>
          <t>Por Caja entra 75 unid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F8" authorId="0" shapeId="0" xr:uid="{A05D88A5-B406-4904-8E6C-25D577645CB4}">
      <text>
        <r>
          <rPr>
            <b/>
            <sz val="11"/>
            <color indexed="81"/>
            <rFont val="Tahoma"/>
            <family val="2"/>
          </rPr>
          <t>Por Caja entra 75 unid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F9" authorId="0" shapeId="0" xr:uid="{AAA74E48-780E-4A86-811D-69C0F18463BE}">
      <text>
        <r>
          <rPr>
            <b/>
            <sz val="11"/>
            <color indexed="81"/>
            <rFont val="Tahoma"/>
            <family val="2"/>
          </rPr>
          <t>Por Caja entra 75 unid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<sst xmlns="http://schemas.openxmlformats.org/spreadsheetml/2006/main" count="88" uniqueCount="43">
  <si>
    <t>Nº</t>
  </si>
  <si>
    <t>Cód. Artíc.</t>
  </si>
  <si>
    <t>Foto</t>
  </si>
  <si>
    <t xml:space="preserve">Cant. </t>
  </si>
  <si>
    <t>Costo Uni. 
NO IGV (S/.)</t>
  </si>
  <si>
    <t>Tiempo Entrega</t>
  </si>
  <si>
    <t>Detalles</t>
  </si>
  <si>
    <t xml:space="preserve">Costo total 
NO IGV (S/.) </t>
  </si>
  <si>
    <t>Proveedor</t>
  </si>
  <si>
    <t>Cod. Prod. Prov.</t>
  </si>
  <si>
    <t>Observaciones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</si>
  <si>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</si>
  <si>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</si>
  <si>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</si>
  <si>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</si>
  <si>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</si>
  <si>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</si>
  <si>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</si>
  <si>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</si>
  <si>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</si>
  <si>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</si>
  <si>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</si>
  <si>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</si>
  <si>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</si>
  <si>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</si>
  <si>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</si>
  <si>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</si>
  <si>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</si>
  <si>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</si>
  <si>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</si>
  <si>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</si>
  <si>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</si>
  <si>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Imagen Referncial</t>
  </si>
  <si>
    <t>5 a 7 Días útiles</t>
  </si>
  <si>
    <t>LAPIZ SEMILLA + TARJETA</t>
  </si>
  <si>
    <t>RONALD</t>
  </si>
  <si>
    <t>S/0,60+ IGV</t>
  </si>
  <si>
    <t>WILFREDO</t>
  </si>
  <si>
    <r>
      <rPr>
        <b/>
        <u/>
        <sz val="16"/>
        <color theme="1"/>
        <rFont val="Arial"/>
        <family val="2"/>
      </rPr>
      <t>LAPIZ SEMILLA + TARJETA</t>
    </r>
    <r>
      <rPr>
        <b/>
        <sz val="16"/>
        <color theme="1"/>
        <rFont val="Arial"/>
        <family val="2"/>
      </rPr>
      <t xml:space="preserve">
LAPIZ SEMILLA
</t>
    </r>
    <r>
      <rPr>
        <sz val="16"/>
        <color theme="1"/>
        <rFont val="Arial"/>
        <family val="2"/>
      </rPr>
      <t xml:space="preserve">Lápiz ecológico de madera que contiene una cápsula con semillas variadas pre plantadas (sujetos a stock disponible). Una vez acaba la vida útil del lápiz, se siembra para germinar flores, arboles, aromáticas o ricos vegetales.
Material: Madera
</t>
    </r>
    <r>
      <rPr>
        <b/>
        <sz val="16"/>
        <color theme="1"/>
        <rFont val="Arial"/>
        <family val="2"/>
      </rPr>
      <t xml:space="preserve">Color cápsula: Blanco, verde, celeste, naranja y otros
TARJETAS
</t>
    </r>
    <r>
      <rPr>
        <sz val="16"/>
        <color theme="1"/>
        <rFont val="Arial"/>
        <family val="2"/>
      </rPr>
      <t xml:space="preserve">Tarjeta ecológica porta lapiz, en cartón reciclado 
Medida: 22 x 6 cm aprox 
Impreso a 1 color con diseño estandar con  instrucciones a 1 lado, reverso sin impresión (para poner diseño opcional)
Presentación: Caja grupales, entrega por separado lapices y tarjetas.
</t>
    </r>
    <r>
      <rPr>
        <b/>
        <sz val="16"/>
        <color rgb="FFFF0000"/>
        <rFont val="Arial"/>
        <family val="2"/>
      </rPr>
      <t>*Incluye logo a 1 color por 1 lado en el lapiz
*Incluye diseño o logo a 1 color en la tarjeta
*Diseño o arte debe ser facilitado por el cliente.</t>
    </r>
  </si>
  <si>
    <t>COTIZACIÓN PROPUESTA _HELVETAS SWISS INTERCOOPERATION_13.05.26</t>
  </si>
  <si>
    <t>Precio
1000 und S/0,60+ IGV
500 und S/.0.65</t>
  </si>
  <si>
    <t>COTIZACIÓN PROPUESTA _HELVETAS SWISS INTERCOOPERATION_15.05.26</t>
  </si>
  <si>
    <t>7 a 9 Días útiles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</si>
</sst>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S/.&quot;\ #,##0.00"/>
    <numFmt numFmtId="165" formatCode="[$S/.-280A]\ #,##0.00"/>
    <numFmt numFmtId="166" formatCode="_-[$$-409]* #,##0.00_ ;_-[$$-409]* \-#,##0.00\ ;_-[$$-409]* &quot;-&quot;??_ ;_-@_ "/>
    <numFmt numFmtId="167" formatCode="&quot;S/&quot;\ #,##0.00;[Red]&quot;S/&quot;\ #,##0.00"/>
    <numFmt numFmtId="168" formatCode="&quot;S/&quot;\ #,##0.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Arial"/>
      <family val="2"/>
    </font>
    <font>
      <b/>
      <sz val="16"/>
      <color rgb="FF000000"/>
      <name val="Arial"/>
      <family val="2"/>
    </font>
    <font>
      <sz val="16"/>
      <color theme="1"/>
      <name val="Arial"/>
      <family val="2"/>
    </font>
    <font>
      <b/>
      <sz val="14"/>
      <color rgb="FF000000"/>
      <name val="Arial"/>
      <family val="2"/>
    </font>
    <font>
      <sz val="18"/>
      <color theme="1"/>
      <name val="Calibri"/>
      <family val="2"/>
      <scheme val="minor"/>
    </font>
    <font>
      <b/>
      <sz val="16"/>
      <color rgb="FFFFFFFF"/>
      <name val="Arial"/>
      <family val="2"/>
      <charset val="1"/>
    </font>
    <font>
      <b/>
      <sz val="16"/>
      <name val="Arial"/>
      <family val="2"/>
      <charset val="1"/>
    </font>
    <font>
      <sz val="16"/>
      <name val="Arial"/>
      <family val="2"/>
    </font>
    <font>
      <b/>
      <sz val="16"/>
      <color theme="1"/>
      <name val="Arial"/>
      <family val="2"/>
    </font>
    <font>
      <b/>
      <sz val="18"/>
      <name val="Arial"/>
      <family val="2"/>
    </font>
    <font>
      <b/>
      <sz val="16"/>
      <color rgb="FFFF0000"/>
      <name val="Arial"/>
      <family val="2"/>
    </font>
    <font>
      <sz val="11"/>
      <color indexed="8"/>
      <name val="Calibri"/>
      <family val="2"/>
    </font>
    <font>
      <sz val="14"/>
      <color indexed="8"/>
      <name val="Calibri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8"/>
      <color theme="1"/>
      <name val="Arial"/>
      <family val="2"/>
    </font>
    <font>
      <sz val="18"/>
      <color indexed="8"/>
      <name val="Arial"/>
      <family val="2"/>
    </font>
    <font>
      <b/>
      <sz val="18"/>
      <color indexed="63"/>
      <name val="Arial"/>
      <family val="2"/>
    </font>
    <font>
      <sz val="18"/>
      <color indexed="63"/>
      <name val="Arial"/>
      <family val="2"/>
    </font>
    <font>
      <b/>
      <sz val="18"/>
      <color rgb="FFFF0000"/>
      <name val="Arial"/>
      <family val="2"/>
    </font>
    <font>
      <sz val="18"/>
      <color indexed="10"/>
      <name val="Arial"/>
      <family val="2"/>
    </font>
    <font>
      <b/>
      <sz val="18"/>
      <color theme="0"/>
      <name val="Arial"/>
      <family val="2"/>
    </font>
    <font>
      <b/>
      <sz val="11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Arial"/>
      <family val="2"/>
    </font>
    <font>
      <sz val="8"/>
      <name val="Calibri"/>
      <family val="2"/>
      <scheme val="minor"/>
    </font>
    <font>
      <b/>
      <u/>
      <sz val="16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000"/>
        <bgColor rgb="FFFFCC00"/>
      </patternFill>
    </fill>
    <fill>
      <patternFill patternType="solid">
        <fgColor rgb="FF003366"/>
        <bgColor rgb="FF333399"/>
      </patternFill>
    </fill>
    <fill>
      <patternFill patternType="solid">
        <fgColor rgb="FFFFFF00"/>
        <bgColor rgb="FFFFCC00"/>
      </patternFill>
    </fill>
    <fill>
      <patternFill patternType="solid">
        <fgColor rgb="FFFF0000"/>
        <bgColor rgb="FFC000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indexed="9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5"/>
        <bgColor indexed="8"/>
      </patternFill>
    </fill>
    <fill>
      <patternFill patternType="solid">
        <fgColor indexed="22"/>
        <bgColor indexed="8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4" fillId="0" borderId="0"/>
    <xf numFmtId="0" fontId="15" fillId="0" borderId="0"/>
    <xf numFmtId="0" fontId="1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6" fillId="0" borderId="0" xfId="0" applyFont="1"/>
    <xf numFmtId="0" fontId="7" fillId="3" borderId="1" xfId="1" applyNumberFormat="1" applyFont="1" applyFill="1" applyBorder="1" applyAlignment="1">
      <alignment horizontal="center" vertical="center" wrapText="1"/>
    </xf>
    <xf numFmtId="0" fontId="9" fillId="4" borderId="2" xfId="1" applyNumberFormat="1" applyFont="1" applyFill="1" applyBorder="1" applyAlignment="1">
      <alignment horizontal="center" vertical="center" wrapText="1"/>
    </xf>
    <xf numFmtId="0" fontId="10" fillId="5" borderId="2" xfId="1" applyNumberFormat="1" applyFont="1" applyFill="1" applyBorder="1" applyAlignment="1">
      <alignment horizontal="center" vertical="center" wrapText="1"/>
    </xf>
    <xf numFmtId="0" fontId="10" fillId="3" borderId="2" xfId="1" applyNumberFormat="1" applyFont="1" applyFill="1" applyBorder="1" applyAlignment="1">
      <alignment horizontal="center" vertical="center" wrapText="1"/>
    </xf>
    <xf numFmtId="0" fontId="9" fillId="6" borderId="2" xfId="1" applyNumberFormat="1" applyFont="1" applyFill="1" applyBorder="1" applyAlignment="1">
      <alignment horizontal="center" vertical="center" wrapText="1"/>
    </xf>
    <xf numFmtId="9" fontId="9" fillId="6" borderId="2" xfId="1" applyNumberFormat="1" applyFont="1" applyFill="1" applyBorder="1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2" applyFont="1"/>
    <xf numFmtId="0" fontId="13" fillId="0" borderId="1" xfId="2" applyFont="1" applyBorder="1" applyAlignment="1">
      <alignment horizontal="center" vertical="center" wrapText="1"/>
    </xf>
    <xf numFmtId="164" fontId="17" fillId="7" borderId="1" xfId="2" applyNumberFormat="1" applyFont="1" applyFill="1" applyBorder="1" applyAlignment="1">
      <alignment horizontal="center" vertical="center" wrapText="1"/>
    </xf>
    <xf numFmtId="167" fontId="17" fillId="0" borderId="1" xfId="2" applyNumberFormat="1" applyFont="1" applyBorder="1" applyAlignment="1">
      <alignment horizontal="center" vertical="center" wrapText="1"/>
    </xf>
    <xf numFmtId="9" fontId="8" fillId="0" borderId="0" xfId="12" applyFont="1" applyAlignment="1">
      <alignment horizontal="center" vertical="center"/>
    </xf>
    <xf numFmtId="168" fontId="20" fillId="8" borderId="1" xfId="2" applyNumberFormat="1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horizontal="center" vertical="center"/>
    </xf>
    <xf numFmtId="165" fontId="19" fillId="9" borderId="1" xfId="2" applyNumberFormat="1" applyFont="1" applyFill="1" applyBorder="1" applyAlignment="1">
      <alignment horizontal="center" vertical="center"/>
    </xf>
    <xf numFmtId="164" fontId="21" fillId="9" borderId="1" xfId="2" applyNumberFormat="1" applyFont="1" applyFill="1" applyBorder="1" applyAlignment="1">
      <alignment horizontal="center" vertical="center"/>
    </xf>
    <xf numFmtId="164" fontId="22" fillId="9" borderId="1" xfId="2" applyNumberFormat="1" applyFont="1" applyFill="1" applyBorder="1" applyAlignment="1">
      <alignment horizontal="center" vertical="center"/>
    </xf>
    <xf numFmtId="0" fontId="13" fillId="10" borderId="1" xfId="2" applyFont="1" applyFill="1" applyBorder="1" applyAlignment="1">
      <alignment horizontal="center" vertical="center"/>
    </xf>
    <xf numFmtId="164" fontId="19" fillId="9" borderId="1" xfId="2" applyNumberFormat="1" applyFont="1" applyFill="1" applyBorder="1" applyAlignment="1">
      <alignment horizontal="center" vertical="center"/>
    </xf>
    <xf numFmtId="164" fontId="19" fillId="13" borderId="1" xfId="2" applyNumberFormat="1" applyFont="1" applyFill="1" applyBorder="1" applyAlignment="1">
      <alignment horizontal="center" vertical="center"/>
    </xf>
    <xf numFmtId="164" fontId="23" fillId="7" borderId="1" xfId="2" applyNumberFormat="1" applyFont="1" applyFill="1" applyBorder="1" applyAlignment="1">
      <alignment horizontal="center" vertical="center"/>
    </xf>
    <xf numFmtId="164" fontId="20" fillId="14" borderId="1" xfId="2" applyNumberFormat="1" applyFont="1" applyFill="1" applyBorder="1" applyAlignment="1">
      <alignment horizontal="center" vertical="center"/>
    </xf>
    <xf numFmtId="0" fontId="20" fillId="15" borderId="1" xfId="2" applyFont="1" applyFill="1" applyBorder="1" applyAlignment="1">
      <alignment horizontal="center" vertical="center"/>
    </xf>
    <xf numFmtId="164" fontId="24" fillId="11" borderId="1" xfId="2" applyNumberFormat="1" applyFont="1" applyFill="1" applyBorder="1" applyAlignment="1">
      <alignment horizontal="center" vertical="center"/>
    </xf>
    <xf numFmtId="164" fontId="20" fillId="15" borderId="1" xfId="2" applyNumberFormat="1" applyFont="1" applyFill="1" applyBorder="1" applyAlignment="1">
      <alignment horizontal="center" vertical="center"/>
    </xf>
    <xf numFmtId="164" fontId="23" fillId="11" borderId="1" xfId="2" applyNumberFormat="1" applyFont="1" applyFill="1" applyBorder="1" applyAlignment="1">
      <alignment horizontal="center" vertical="center"/>
    </xf>
    <xf numFmtId="164" fontId="19" fillId="0" borderId="1" xfId="2" applyNumberFormat="1" applyFont="1" applyBorder="1" applyAlignment="1">
      <alignment horizontal="center" vertical="center"/>
    </xf>
    <xf numFmtId="164" fontId="25" fillId="16" borderId="1" xfId="2" applyNumberFormat="1" applyFont="1" applyFill="1" applyBorder="1" applyAlignment="1">
      <alignment horizontal="center" vertical="center"/>
    </xf>
    <xf numFmtId="165" fontId="19" fillId="7" borderId="1" xfId="3" applyNumberFormat="1" applyFont="1" applyFill="1" applyBorder="1" applyAlignment="1">
      <alignment horizontal="center" vertical="center"/>
    </xf>
    <xf numFmtId="165" fontId="23" fillId="7" borderId="1" xfId="2" applyNumberFormat="1" applyFont="1" applyFill="1" applyBorder="1" applyAlignment="1">
      <alignment horizontal="center" vertical="center"/>
    </xf>
    <xf numFmtId="0" fontId="19" fillId="0" borderId="2" xfId="2" applyFont="1" applyBorder="1" applyAlignment="1">
      <alignment horizontal="center" vertical="center" wrapText="1"/>
    </xf>
    <xf numFmtId="0" fontId="19" fillId="0" borderId="5" xfId="2" applyFont="1" applyBorder="1" applyAlignment="1">
      <alignment horizontal="center" vertical="center" wrapText="1"/>
    </xf>
    <xf numFmtId="0" fontId="19" fillId="0" borderId="3" xfId="2" applyFont="1" applyBorder="1" applyAlignment="1">
      <alignment horizontal="center" vertical="center" wrapText="1"/>
    </xf>
    <xf numFmtId="0" fontId="19" fillId="0" borderId="4" xfId="2" applyFont="1" applyBorder="1" applyAlignment="1">
      <alignment horizontal="center" vertical="center" wrapText="1"/>
    </xf>
    <xf numFmtId="0" fontId="19" fillId="0" borderId="6" xfId="2" applyFont="1" applyBorder="1" applyAlignment="1">
      <alignment horizontal="center" vertical="center" wrapText="1"/>
    </xf>
    <xf numFmtId="0" fontId="19" fillId="0" borderId="7" xfId="2" applyFont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28" fillId="0" borderId="2" xfId="2" applyFont="1" applyBorder="1" applyAlignment="1">
      <alignment horizontal="center" wrapText="1"/>
    </xf>
    <xf numFmtId="0" fontId="28" fillId="0" borderId="5" xfId="2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0" fontId="12" fillId="0" borderId="6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2" xfId="2" applyFont="1" applyBorder="1" applyAlignment="1">
      <alignment horizontal="left" vertical="center" wrapText="1"/>
    </xf>
    <xf numFmtId="0" fontId="18" fillId="0" borderId="5" xfId="2" applyFont="1" applyBorder="1" applyAlignment="1">
      <alignment horizontal="left" vertical="center" wrapText="1"/>
    </xf>
    <xf numFmtId="0" fontId="17" fillId="0" borderId="2" xfId="2" applyFont="1" applyBorder="1" applyAlignment="1">
      <alignment horizontal="center" vertical="center" wrapText="1"/>
    </xf>
    <xf numFmtId="0" fontId="17" fillId="0" borderId="5" xfId="2" applyFont="1" applyBorder="1" applyAlignment="1">
      <alignment horizontal="center" vertical="center" wrapText="1"/>
    </xf>
  </cellXfs>
  <cellStyles count="13">
    <cellStyle name="Millares 2 2 3 2 2 2 2 2 2 2 2 2" xfId="5" xr:uid="{9280F960-C03D-4D97-8919-E184CE8CD92B}"/>
    <cellStyle name="Millares 2 2 3 4 2 2 2 2 2" xfId="7" xr:uid="{B740DCF7-A423-46DE-818F-3FEA3BAEBD84}"/>
    <cellStyle name="Normal" xfId="0" builtinId="0"/>
    <cellStyle name="Normal 10 2" xfId="9" xr:uid="{4C51D3C5-8822-4D28-A715-1EAFF66B0335}"/>
    <cellStyle name="Normal 2 2" xfId="2" xr:uid="{CDB84461-1C76-4A6F-B0CF-AEA3CCB8166F}"/>
    <cellStyle name="Normal 2 2 6 2" xfId="10" xr:uid="{1A811E0D-6FAD-4212-8865-0A8079095678}"/>
    <cellStyle name="Normal 2 3 2 2" xfId="8" xr:uid="{8F65D194-1061-47E0-8578-2CCF6D8E710C}"/>
    <cellStyle name="Normal 3 3 2" xfId="4" xr:uid="{11D6FAD4-39CD-4061-AA9B-C73D3ED4480F}"/>
    <cellStyle name="Normal 3 3 2 5" xfId="6" xr:uid="{ED600D5F-163B-41E2-B71D-2AD98B93D64C}"/>
    <cellStyle name="Normal 3 3 2 5 2" xfId="11" xr:uid="{ECDE225F-A98B-47CF-B043-30A8D4ECBB12}"/>
    <cellStyle name="Normal 3 4 2" xfId="3" xr:uid="{1378B656-466D-4946-B96E-37AE8186FD4E}"/>
    <cellStyle name="Porcentaje" xfId="12" builtinId="5"/>
    <cellStyle name="Texto explicativo" xfId="1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460375</xdr:colOff>
      <xdr:row>7</xdr:row>
      <xdr:rowOff>587375</xdr:rowOff>
    </xdr:from>
    <xdr:ext cx="2213972" cy="4254499"/>
    <xdr:pic>
      <xdr:nvPicPr>
        <xdr:cNvPr id="7" name="Imagen 6">
          <a:extLst>
            <a:ext uri="{FF2B5EF4-FFF2-40B4-BE49-F238E27FC236}">
              <a16:creationId xmlns:a16="http://schemas.microsoft.com/office/drawing/2014/main" id="{68263E9E-7918-4B32-9CFC-ADC56F812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97250" y="1698625"/>
          <a:ext cx="2213972" cy="4254499"/>
        </a:xfrm>
        <a:prstGeom prst="rect">
          <a:avLst/>
        </a:prstGeom>
      </xdr:spPr>
    </xdr:pic>
    <xdr:clientData/>
  </xdr:oneCellAnchor>
  <xdr:oneCellAnchor>
    <xdr:from>
      <xdr:col>4</xdr:col>
      <xdr:colOff>460375</xdr:colOff>
      <xdr:row>2</xdr:row>
      <xdr:rowOff>587375</xdr:rowOff>
    </xdr:from>
    <xdr:ext cx="2213972" cy="4254499"/>
    <xdr:pic>
      <xdr:nvPicPr>
        <xdr:cNvPr id="2" name="Imagen 1">
          <a:extLst>
            <a:ext uri="{FF2B5EF4-FFF2-40B4-BE49-F238E27FC236}">
              <a16:creationId xmlns:a16="http://schemas.microsoft.com/office/drawing/2014/main" id="{F5DAD868-D599-425E-A1BB-79F3D87CA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97250" y="2714625"/>
          <a:ext cx="2213972" cy="42544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4D96-3937-4A29-AADE-135DD7FE0049}">
  <dimension ref="A1:DG13"/>
  <sheetViews>
    <sheetView showGridLines="0" tabSelected="1" topLeftCell="A3" zoomScale="60" zoomScaleNormal="60" workbookViewId="0">
      <selection activeCell="G4" sqref="G4"/>
    </sheetView>
  </sheetViews>
  <sheetFormatPr baseColWidth="10" defaultColWidth="11.42578125" defaultRowHeight="20.25" x14ac:dyDescent="0.3"/>
  <cols>
    <col min="1" max="1" width="3.5703125" style="2" customWidth="1"/>
    <col min="2" max="2" width="5.42578125" style="2" customWidth="1"/>
    <col min="3" max="3" width="12.5703125" style="2" customWidth="1"/>
    <col min="4" max="4" width="22.28515625" style="2" customWidth="1"/>
    <col min="5" max="5" width="46.7109375" style="2" customWidth="1"/>
    <col min="6" max="6" width="11.7109375" style="2" bestFit="1" customWidth="1"/>
    <col min="7" max="7" width="23.28515625" style="2" customWidth="1"/>
    <col min="8" max="8" width="17.42578125" style="2" customWidth="1"/>
    <col min="9" max="9" width="93.42578125" style="2" customWidth="1"/>
    <col min="10" max="10" width="23.7109375" style="2" customWidth="1"/>
    <col min="11" max="11" width="14.42578125" style="2" customWidth="1"/>
    <col min="12" max="12" width="11" style="2" customWidth="1"/>
    <col min="13" max="13" width="25.42578125" style="2" customWidth="1"/>
    <col min="14" max="14" width="26.42578125" style="2" customWidth="1"/>
    <col min="15" max="15" width="19.5703125" style="2" customWidth="1"/>
    <col min="16" max="16" width="18.140625" style="2" customWidth="1"/>
    <col min="17" max="17" width="17.42578125" style="2" bestFit="1" customWidth="1"/>
    <col min="18" max="18" width="17.5703125" style="2" bestFit="1" customWidth="1"/>
    <col min="19" max="19" width="13.42578125" style="2" bestFit="1" customWidth="1"/>
    <col min="20" max="20" width="20.140625" style="2" bestFit="1" customWidth="1"/>
    <col min="21" max="21" width="15.28515625" style="2" bestFit="1" customWidth="1"/>
    <col min="22" max="22" width="15" style="2" customWidth="1"/>
    <col min="23" max="23" width="19.5703125" style="2" customWidth="1"/>
    <col min="24" max="24" width="18.42578125" style="2" bestFit="1" customWidth="1"/>
    <col min="25" max="25" width="25.85546875" style="2" customWidth="1"/>
    <col min="26" max="26" width="35.7109375" style="2" customWidth="1"/>
    <col min="27" max="27" width="22.140625" style="2" bestFit="1" customWidth="1"/>
    <col min="28" max="30" width="11.85546875" style="2" bestFit="1" customWidth="1"/>
    <col min="31" max="31" width="21.140625" style="2" customWidth="1"/>
    <col min="32" max="32" width="15.42578125" style="2" bestFit="1" customWidth="1"/>
    <col min="33" max="33" width="21.5703125" style="2" customWidth="1"/>
    <col min="34" max="34" width="20.140625" style="2" bestFit="1" customWidth="1"/>
    <col min="35" max="35" width="15.28515625" style="2" bestFit="1" customWidth="1"/>
    <col min="36" max="36" width="13.42578125" style="2" bestFit="1" customWidth="1"/>
    <col min="37" max="37" width="15.28515625" style="2" bestFit="1" customWidth="1"/>
    <col min="38" max="16384" width="11.42578125" style="2"/>
  </cols>
  <sheetData>
    <row r="1" spans="1:111" ht="21" customHeight="1" x14ac:dyDescent="0.35">
      <c r="A1" s="1"/>
      <c r="B1" s="40" t="s">
        <v>41</v>
      </c>
      <c r="C1" s="40"/>
      <c r="D1" s="40"/>
      <c r="E1" s="40"/>
      <c r="F1" s="40"/>
      <c r="G1" s="40"/>
      <c r="H1" s="40"/>
      <c r="I1" s="40"/>
      <c r="J1" s="40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spans="1:111" ht="45.75" customHeight="1" x14ac:dyDescent="0.35">
      <c r="A2" s="1"/>
      <c r="B2" s="3" t="s">
        <v>0</v>
      </c>
      <c r="C2" s="3" t="s">
        <v>1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10"/>
      <c r="M2" s="4" t="s">
        <v>8</v>
      </c>
      <c r="N2" s="4" t="s">
        <v>9</v>
      </c>
      <c r="O2" s="4" t="s">
        <v>10</v>
      </c>
      <c r="P2" s="4" t="s">
        <v>11</v>
      </c>
      <c r="Q2" s="5" t="s">
        <v>12</v>
      </c>
      <c r="R2" s="5" t="s">
        <v>13</v>
      </c>
      <c r="S2" s="5" t="s">
        <v>14</v>
      </c>
      <c r="T2" s="5" t="s">
        <v>15</v>
      </c>
      <c r="U2" s="5" t="s">
        <v>16</v>
      </c>
      <c r="V2" s="5" t="s">
        <v>17</v>
      </c>
      <c r="W2" s="5" t="s">
        <v>18</v>
      </c>
      <c r="X2" s="4" t="s">
        <v>19</v>
      </c>
      <c r="Y2" s="4" t="s">
        <v>20</v>
      </c>
      <c r="Z2" s="6" t="s">
        <v>21</v>
      </c>
      <c r="AA2" s="6" t="s">
        <v>22</v>
      </c>
      <c r="AB2" s="6" t="s">
        <v>23</v>
      </c>
      <c r="AC2" s="6" t="s">
        <v>24</v>
      </c>
      <c r="AD2" s="6" t="s">
        <v>25</v>
      </c>
      <c r="AE2" s="6" t="s">
        <v>26</v>
      </c>
      <c r="AF2" s="4" t="s">
        <v>27</v>
      </c>
      <c r="AG2" s="4" t="s">
        <v>28</v>
      </c>
      <c r="AH2" s="7" t="s">
        <v>16</v>
      </c>
      <c r="AI2" s="7" t="s">
        <v>29</v>
      </c>
      <c r="AJ2" s="7" t="s">
        <v>30</v>
      </c>
      <c r="AK2" s="8" t="s">
        <v>31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</row>
    <row r="3" spans="1:111" s="11" customFormat="1" ht="216.75" customHeight="1" x14ac:dyDescent="0.3">
      <c r="B3" s="43">
        <v>1</v>
      </c>
      <c r="C3" s="45" t="s">
        <v>34</v>
      </c>
      <c r="D3" s="46"/>
      <c r="E3" s="41" t="s">
        <v>32</v>
      </c>
      <c r="F3" s="12">
        <v>1000</v>
      </c>
      <c r="G3" s="13">
        <v>2.99</v>
      </c>
      <c r="H3" s="9" t="s">
        <v>42</v>
      </c>
      <c r="I3" s="49" t="s">
        <v>38</v>
      </c>
      <c r="J3" s="14">
        <f t="shared" ref="J3:J4" si="0">F3*G3</f>
        <v>2990</v>
      </c>
      <c r="K3" s="15">
        <f>T3/J3</f>
        <v>0.38127090301003347</v>
      </c>
      <c r="L3" s="11">
        <v>2.79</v>
      </c>
      <c r="M3" s="51" t="s">
        <v>35</v>
      </c>
      <c r="N3" s="34"/>
      <c r="O3" s="36" t="s">
        <v>40</v>
      </c>
      <c r="P3" s="37"/>
      <c r="Q3" s="16">
        <f>0.02+0.21+0.22+0.5</f>
        <v>0.95</v>
      </c>
      <c r="R3" s="17">
        <v>120</v>
      </c>
      <c r="S3" s="18">
        <f t="shared" ref="S3:S4" si="1">Q3*R3/100</f>
        <v>1.1399999999999999</v>
      </c>
      <c r="T3" s="19">
        <f t="shared" ref="T3:T4" si="2">S3*V3</f>
        <v>1140</v>
      </c>
      <c r="U3" s="20">
        <f t="shared" ref="U3:U4" si="3">Q3+S3</f>
        <v>2.09</v>
      </c>
      <c r="V3" s="21">
        <f>F3</f>
        <v>1000</v>
      </c>
      <c r="W3" s="22">
        <f>Q3*50</f>
        <v>47.5</v>
      </c>
      <c r="X3" s="23">
        <v>200</v>
      </c>
      <c r="Y3" s="24">
        <f t="shared" ref="Y3:Y4" si="4">V3*U3+W3+X3</f>
        <v>2337.5</v>
      </c>
      <c r="Z3" s="12" t="s">
        <v>37</v>
      </c>
      <c r="AA3" s="25">
        <f>120+300</f>
        <v>420</v>
      </c>
      <c r="AB3" s="26">
        <v>1</v>
      </c>
      <c r="AC3" s="26">
        <v>1</v>
      </c>
      <c r="AD3" s="26">
        <v>1</v>
      </c>
      <c r="AE3" s="27">
        <f t="shared" ref="AE3:AE4" si="5">AA3*AB3*AC3*AD3</f>
        <v>420</v>
      </c>
      <c r="AF3" s="28">
        <v>11</v>
      </c>
      <c r="AG3" s="29">
        <f>0.8%*(Y3+AE3+AF3)</f>
        <v>22.148</v>
      </c>
      <c r="AH3" s="30">
        <f t="shared" ref="AH3:AH4" si="6">Y3+AE3+AG3+AF3</f>
        <v>2790.6480000000001</v>
      </c>
      <c r="AI3" s="31">
        <f t="shared" ref="AI3:AI4" si="7">AH3/V3</f>
        <v>2.790648</v>
      </c>
      <c r="AJ3" s="32">
        <f t="shared" ref="AJ3:AJ4" si="8">AI3*18%</f>
        <v>0.50231663999999998</v>
      </c>
      <c r="AK3" s="33">
        <f t="shared" ref="AK3:AK4" si="9">AI3+AJ3</f>
        <v>3.2929646400000001</v>
      </c>
    </row>
    <row r="4" spans="1:111" s="11" customFormat="1" ht="216.75" customHeight="1" x14ac:dyDescent="0.3">
      <c r="B4" s="44"/>
      <c r="C4" s="47"/>
      <c r="D4" s="48"/>
      <c r="E4" s="42"/>
      <c r="F4" s="12">
        <v>500</v>
      </c>
      <c r="G4" s="13">
        <v>3.6</v>
      </c>
      <c r="H4" s="9" t="s">
        <v>33</v>
      </c>
      <c r="I4" s="50"/>
      <c r="J4" s="14">
        <f t="shared" si="0"/>
        <v>1800</v>
      </c>
      <c r="K4" s="15">
        <f>T4/J4</f>
        <v>0.31666666666666665</v>
      </c>
      <c r="L4" s="11">
        <v>3.29</v>
      </c>
      <c r="M4" s="52"/>
      <c r="N4" s="35"/>
      <c r="O4" s="38"/>
      <c r="P4" s="39"/>
      <c r="Q4" s="16">
        <f>0.02+0.21+0.22+0.5</f>
        <v>0.95</v>
      </c>
      <c r="R4" s="17">
        <v>120</v>
      </c>
      <c r="S4" s="18">
        <f t="shared" si="1"/>
        <v>1.1399999999999999</v>
      </c>
      <c r="T4" s="19">
        <f t="shared" si="2"/>
        <v>570</v>
      </c>
      <c r="U4" s="20">
        <f t="shared" si="3"/>
        <v>2.09</v>
      </c>
      <c r="V4" s="21">
        <f>F4</f>
        <v>500</v>
      </c>
      <c r="W4" s="22">
        <f>Q4*25</f>
        <v>23.75</v>
      </c>
      <c r="X4" s="23">
        <v>160</v>
      </c>
      <c r="Y4" s="24">
        <f t="shared" si="4"/>
        <v>1228.75</v>
      </c>
      <c r="Z4" s="12" t="s">
        <v>37</v>
      </c>
      <c r="AA4" s="25">
        <f>100+200</f>
        <v>300</v>
      </c>
      <c r="AB4" s="26">
        <v>1</v>
      </c>
      <c r="AC4" s="26">
        <v>1</v>
      </c>
      <c r="AD4" s="26">
        <v>1</v>
      </c>
      <c r="AE4" s="27">
        <f t="shared" si="5"/>
        <v>300</v>
      </c>
      <c r="AF4" s="28">
        <v>5.5</v>
      </c>
      <c r="AG4" s="29">
        <f>0.8%*(Y4+AE4+AF4)</f>
        <v>12.274000000000001</v>
      </c>
      <c r="AH4" s="30">
        <f t="shared" si="6"/>
        <v>1546.5239999999999</v>
      </c>
      <c r="AI4" s="31">
        <f t="shared" si="7"/>
        <v>3.0930479999999996</v>
      </c>
      <c r="AJ4" s="32">
        <f t="shared" si="8"/>
        <v>0.55674863999999991</v>
      </c>
      <c r="AK4" s="33">
        <f t="shared" si="9"/>
        <v>3.6497966399999995</v>
      </c>
    </row>
    <row r="6" spans="1:111" ht="21" customHeight="1" x14ac:dyDescent="0.35">
      <c r="A6" s="1"/>
      <c r="B6" s="40" t="s">
        <v>39</v>
      </c>
      <c r="C6" s="40"/>
      <c r="D6" s="40"/>
      <c r="E6" s="40"/>
      <c r="F6" s="40"/>
      <c r="G6" s="40"/>
      <c r="H6" s="40"/>
      <c r="I6" s="40"/>
      <c r="J6" s="4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</row>
    <row r="7" spans="1:111" ht="45.75" customHeight="1" x14ac:dyDescent="0.35">
      <c r="A7" s="1"/>
      <c r="B7" s="3" t="s">
        <v>0</v>
      </c>
      <c r="C7" s="3" t="s">
        <v>1</v>
      </c>
      <c r="D7" s="3" t="s">
        <v>1</v>
      </c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  <c r="J7" s="3" t="s">
        <v>7</v>
      </c>
      <c r="K7" s="10"/>
      <c r="M7" s="4" t="s">
        <v>8</v>
      </c>
      <c r="N7" s="4" t="s">
        <v>9</v>
      </c>
      <c r="O7" s="4" t="s">
        <v>10</v>
      </c>
      <c r="P7" s="4" t="s">
        <v>11</v>
      </c>
      <c r="Q7" s="5" t="s">
        <v>12</v>
      </c>
      <c r="R7" s="5" t="s">
        <v>13</v>
      </c>
      <c r="S7" s="5" t="s">
        <v>14</v>
      </c>
      <c r="T7" s="5" t="s">
        <v>15</v>
      </c>
      <c r="U7" s="5" t="s">
        <v>16</v>
      </c>
      <c r="V7" s="5" t="s">
        <v>17</v>
      </c>
      <c r="W7" s="5" t="s">
        <v>18</v>
      </c>
      <c r="X7" s="4" t="s">
        <v>19</v>
      </c>
      <c r="Y7" s="4" t="s">
        <v>20</v>
      </c>
      <c r="Z7" s="6" t="s">
        <v>21</v>
      </c>
      <c r="AA7" s="6" t="s">
        <v>22</v>
      </c>
      <c r="AB7" s="6" t="s">
        <v>23</v>
      </c>
      <c r="AC7" s="6" t="s">
        <v>24</v>
      </c>
      <c r="AD7" s="6" t="s">
        <v>25</v>
      </c>
      <c r="AE7" s="6" t="s">
        <v>26</v>
      </c>
      <c r="AF7" s="4" t="s">
        <v>27</v>
      </c>
      <c r="AG7" s="4" t="s">
        <v>28</v>
      </c>
      <c r="AH7" s="7" t="s">
        <v>16</v>
      </c>
      <c r="AI7" s="7" t="s">
        <v>29</v>
      </c>
      <c r="AJ7" s="7" t="s">
        <v>30</v>
      </c>
      <c r="AK7" s="8" t="s">
        <v>31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</row>
    <row r="8" spans="1:111" s="11" customFormat="1" ht="216.75" customHeight="1" x14ac:dyDescent="0.3">
      <c r="B8" s="43">
        <v>1</v>
      </c>
      <c r="C8" s="45" t="s">
        <v>34</v>
      </c>
      <c r="D8" s="46"/>
      <c r="E8" s="41" t="s">
        <v>32</v>
      </c>
      <c r="F8" s="12">
        <v>200</v>
      </c>
      <c r="G8" s="13">
        <v>4.79</v>
      </c>
      <c r="H8" s="9" t="s">
        <v>33</v>
      </c>
      <c r="I8" s="49" t="s">
        <v>38</v>
      </c>
      <c r="J8" s="14">
        <f t="shared" ref="J8" si="10">F8*G8</f>
        <v>958</v>
      </c>
      <c r="K8" s="15">
        <f>T8/J8</f>
        <v>0.42640918580375781</v>
      </c>
      <c r="M8" s="51" t="s">
        <v>35</v>
      </c>
      <c r="N8" s="34"/>
      <c r="O8" s="36" t="s">
        <v>36</v>
      </c>
      <c r="P8" s="37"/>
      <c r="Q8" s="16">
        <f>0.02+0.21+0.22+0.5</f>
        <v>0.95</v>
      </c>
      <c r="R8" s="17">
        <v>215</v>
      </c>
      <c r="S8" s="18">
        <f t="shared" ref="S8" si="11">Q8*R8/100</f>
        <v>2.0425</v>
      </c>
      <c r="T8" s="19">
        <f t="shared" ref="T8" si="12">S8*V8</f>
        <v>408.5</v>
      </c>
      <c r="U8" s="20">
        <f t="shared" ref="U8" si="13">Q8+S8</f>
        <v>2.9924999999999997</v>
      </c>
      <c r="V8" s="21">
        <f>F8</f>
        <v>200</v>
      </c>
      <c r="W8" s="22">
        <f>Q8*20</f>
        <v>19</v>
      </c>
      <c r="X8" s="23">
        <v>100</v>
      </c>
      <c r="Y8" s="24">
        <f t="shared" ref="Y8" si="14">V8*U8+W8+X8</f>
        <v>717.5</v>
      </c>
      <c r="Z8" s="12" t="s">
        <v>37</v>
      </c>
      <c r="AA8" s="25">
        <f>80+140</f>
        <v>220</v>
      </c>
      <c r="AB8" s="26">
        <v>1</v>
      </c>
      <c r="AC8" s="26">
        <v>1</v>
      </c>
      <c r="AD8" s="26">
        <v>1</v>
      </c>
      <c r="AE8" s="27">
        <f t="shared" ref="AE8" si="15">AA8*AB8*AC8*AD8</f>
        <v>220</v>
      </c>
      <c r="AF8" s="28">
        <f>AF9*2</f>
        <v>9.6999999999999993</v>
      </c>
      <c r="AG8" s="29">
        <f>0.8%*(Y8+AE8+AF8)</f>
        <v>7.5776000000000003</v>
      </c>
      <c r="AH8" s="30">
        <f t="shared" ref="AH8" si="16">Y8+AE8+AG8+AF8</f>
        <v>954.77760000000001</v>
      </c>
      <c r="AI8" s="31">
        <f t="shared" ref="AI8" si="17">AH8/V8</f>
        <v>4.7738880000000004</v>
      </c>
      <c r="AJ8" s="32">
        <f t="shared" ref="AJ8" si="18">AI8*18%</f>
        <v>0.85929984000000004</v>
      </c>
      <c r="AK8" s="33">
        <f t="shared" ref="AK8" si="19">AI8+AJ8</f>
        <v>5.6331878400000006</v>
      </c>
    </row>
    <row r="9" spans="1:111" s="11" customFormat="1" ht="216.75" customHeight="1" x14ac:dyDescent="0.3">
      <c r="B9" s="44"/>
      <c r="C9" s="47"/>
      <c r="D9" s="48"/>
      <c r="E9" s="42"/>
      <c r="F9" s="12">
        <v>100</v>
      </c>
      <c r="G9" s="13">
        <v>5.6</v>
      </c>
      <c r="H9" s="9" t="s">
        <v>33</v>
      </c>
      <c r="I9" s="50"/>
      <c r="J9" s="14">
        <f t="shared" ref="J9" si="20">F9*G9</f>
        <v>560</v>
      </c>
      <c r="K9" s="15">
        <f>T9/J9</f>
        <v>0.3392857142857143</v>
      </c>
      <c r="M9" s="52"/>
      <c r="N9" s="35"/>
      <c r="O9" s="38"/>
      <c r="P9" s="39"/>
      <c r="Q9" s="16">
        <f>0.02+0.21+0.22+0.5</f>
        <v>0.95</v>
      </c>
      <c r="R9" s="17">
        <v>200</v>
      </c>
      <c r="S9" s="18">
        <f t="shared" ref="S9" si="21">Q9*R9/100</f>
        <v>1.9</v>
      </c>
      <c r="T9" s="19">
        <f t="shared" ref="T9" si="22">S9*V9</f>
        <v>190</v>
      </c>
      <c r="U9" s="20">
        <f t="shared" ref="U9" si="23">Q9+S9</f>
        <v>2.8499999999999996</v>
      </c>
      <c r="V9" s="21">
        <f>F9</f>
        <v>100</v>
      </c>
      <c r="W9" s="22">
        <f>Q9*10</f>
        <v>9.5</v>
      </c>
      <c r="X9" s="23">
        <v>80</v>
      </c>
      <c r="Y9" s="24">
        <f t="shared" ref="Y9" si="24">V9*U9+W9+X9</f>
        <v>374.49999999999994</v>
      </c>
      <c r="Z9" s="12" t="s">
        <v>37</v>
      </c>
      <c r="AA9" s="25">
        <f>60+100</f>
        <v>160</v>
      </c>
      <c r="AB9" s="26">
        <v>1</v>
      </c>
      <c r="AC9" s="26">
        <v>1</v>
      </c>
      <c r="AD9" s="26">
        <v>1</v>
      </c>
      <c r="AE9" s="27">
        <f t="shared" ref="AE9" si="25">AA9*AB9*AC9*AD9</f>
        <v>160</v>
      </c>
      <c r="AF9" s="28">
        <v>4.8499999999999996</v>
      </c>
      <c r="AG9" s="29">
        <f>0.8%*(Y9+AE9+AF9)</f>
        <v>4.3148</v>
      </c>
      <c r="AH9" s="30">
        <f t="shared" ref="AH9" si="26">Y9+AE9+AG9+AF9</f>
        <v>543.66480000000001</v>
      </c>
      <c r="AI9" s="31">
        <f t="shared" ref="AI9" si="27">AH9/V9</f>
        <v>5.4366479999999999</v>
      </c>
      <c r="AJ9" s="32">
        <f t="shared" ref="AJ9" si="28">AI9*18%</f>
        <v>0.97859663999999991</v>
      </c>
      <c r="AK9" s="33">
        <f t="shared" ref="AK9" si="29">AI9+AJ9</f>
        <v>6.4152446400000001</v>
      </c>
    </row>
    <row r="13" spans="1:111" x14ac:dyDescent="0.3">
      <c r="I13"/>
    </row>
  </sheetData>
  <mergeCells count="16">
    <mergeCell ref="M3:M4"/>
    <mergeCell ref="N3:N4"/>
    <mergeCell ref="O3:P4"/>
    <mergeCell ref="B1:J1"/>
    <mergeCell ref="B3:B4"/>
    <mergeCell ref="C3:D4"/>
    <mergeCell ref="E3:E4"/>
    <mergeCell ref="I3:I4"/>
    <mergeCell ref="N8:N9"/>
    <mergeCell ref="O8:P9"/>
    <mergeCell ref="B6:J6"/>
    <mergeCell ref="E8:E9"/>
    <mergeCell ref="B8:B9"/>
    <mergeCell ref="C8:D9"/>
    <mergeCell ref="I8:I9"/>
    <mergeCell ref="M8:M9"/>
  </mergeCells>
  <phoneticPr fontId="29" type="noConversion"/>
  <pageMargins left="0.7" right="0.7" top="0.75" bottom="0.75" header="0.3" footer="0.3"/>
  <pageSetup orientation="portrait" horizontalDpi="360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LOGISTICA</dc:creator>
  <cp:keywords/>
  <dc:description/>
  <cp:lastModifiedBy>Compipro SAC</cp:lastModifiedBy>
  <cp:revision/>
  <dcterms:created xsi:type="dcterms:W3CDTF">2024-07-03T20:50:14Z</dcterms:created>
  <dcterms:modified xsi:type="dcterms:W3CDTF">2026-05-15T21:42:41Z</dcterms:modified>
  <cp:category/>
  <cp:contentStatus/>
</cp:coreProperties>
</file>