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ACNUR- UNHCR (Agencia de la ONU para los refugiados)/BD Cotizaciones/"/>
    </mc:Choice>
  </mc:AlternateContent>
  <xr:revisionPtr revIDLastSave="1" documentId="8_{2D400F43-BABD-4955-B620-DF3094735BF8}" xr6:coauthVersionLast="47" xr6:coauthVersionMax="47" xr10:uidLastSave="{BB44B3D0-D0E3-4F16-AE29-0A9B145D1820}"/>
  <bookViews>
    <workbookView xWindow="-105" yWindow="0" windowWidth="14610" windowHeight="15585" xr2:uid="{CCD0D818-1EE8-4DD4-93E4-7CB8CB0FF8FD}"/>
  </bookViews>
  <sheets>
    <sheet name="Cotización1" sheetId="1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S5" i="1" s="1"/>
  <c r="Q4" i="1"/>
  <c r="S4" i="1" s="1"/>
  <c r="R6" i="1"/>
  <c r="AF5" i="1"/>
  <c r="AE5" i="1"/>
  <c r="V5" i="1"/>
  <c r="AF4" i="1"/>
  <c r="AF6" i="1" s="1"/>
  <c r="AE4" i="1"/>
  <c r="X6" i="1"/>
  <c r="V4" i="1"/>
  <c r="R12" i="1"/>
  <c r="AF11" i="1"/>
  <c r="AE11" i="1"/>
  <c r="X11" i="1"/>
  <c r="V11" i="1"/>
  <c r="Q11" i="1"/>
  <c r="S11" i="1" s="1"/>
  <c r="AF10" i="1"/>
  <c r="AF12" i="1" s="1"/>
  <c r="AE10" i="1"/>
  <c r="X10" i="1"/>
  <c r="X12" i="1" s="1"/>
  <c r="V10" i="1"/>
  <c r="Q10" i="1"/>
  <c r="S10" i="1" s="1"/>
  <c r="J10" i="1"/>
  <c r="T5" i="1" l="1"/>
  <c r="U5" i="1"/>
  <c r="Y5" i="1"/>
  <c r="T4" i="1"/>
  <c r="U4" i="1"/>
  <c r="W4" i="1"/>
  <c r="W5" i="1"/>
  <c r="W11" i="1"/>
  <c r="W10" i="1"/>
  <c r="T10" i="1"/>
  <c r="U10" i="1"/>
  <c r="Y10" i="1" s="1"/>
  <c r="T11" i="1"/>
  <c r="U11" i="1"/>
  <c r="Y4" i="1" l="1"/>
  <c r="AG4" i="1" s="1"/>
  <c r="T6" i="1"/>
  <c r="AG5" i="1"/>
  <c r="AH5" i="1" s="1"/>
  <c r="AI5" i="1" s="1"/>
  <c r="Y11" i="1"/>
  <c r="AG11" i="1"/>
  <c r="AH11" i="1" s="1"/>
  <c r="AI11" i="1" s="1"/>
  <c r="AG10" i="1"/>
  <c r="AG12" i="1" s="1"/>
  <c r="L10" i="1"/>
  <c r="T12" i="1"/>
  <c r="AJ5" i="1" l="1"/>
  <c r="AK5" i="1" s="1"/>
  <c r="J5" i="1"/>
  <c r="AG6" i="1"/>
  <c r="AH4" i="1"/>
  <c r="AI4" i="1" s="1"/>
  <c r="J4" i="1" s="1"/>
  <c r="L4" i="1" s="1"/>
  <c r="AJ11" i="1"/>
  <c r="AK11" i="1" s="1"/>
  <c r="G11" i="1"/>
  <c r="J11" i="1" s="1"/>
  <c r="AH10" i="1"/>
  <c r="AI10" i="1" s="1"/>
  <c r="AJ4" i="1" l="1"/>
  <c r="AK4" i="1" s="1"/>
  <c r="J6" i="1"/>
  <c r="L6" i="1" s="1"/>
  <c r="L5" i="1"/>
  <c r="AJ10" i="1"/>
  <c r="AK10" i="1"/>
  <c r="J12" i="1"/>
  <c r="L11" i="1"/>
</calcChain>
</file>

<file path=xl/sharedStrings.xml><?xml version="1.0" encoding="utf-8"?>
<sst xmlns="http://schemas.openxmlformats.org/spreadsheetml/2006/main" count="120" uniqueCount="50">
  <si>
    <t>Nº</t>
  </si>
  <si>
    <t>Cód. Artíc.</t>
  </si>
  <si>
    <t>Art.</t>
  </si>
  <si>
    <t>Foto</t>
  </si>
  <si>
    <t>Cant.</t>
  </si>
  <si>
    <t>Costo Uni.
NO. IGV(S/.)</t>
  </si>
  <si>
    <t xml:space="preserve">Tiempo Entrega </t>
  </si>
  <si>
    <t>Costo TOTAL
NO. IGV (S/.)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</si>
  <si>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</si>
  <si>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</si>
  <si>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</si>
  <si>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</si>
  <si>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</si>
  <si>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</si>
  <si>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</si>
  <si>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</si>
  <si>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</si>
  <si>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</si>
  <si>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</si>
  <si>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</si>
  <si>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</si>
  <si>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</si>
  <si>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</si>
  <si>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</si>
  <si>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</si>
  <si>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</si>
  <si>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</si>
  <si>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</si>
  <si>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</si>
  <si>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</si>
  <si>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</si>
  <si>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</si>
  <si>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referencial</t>
  </si>
  <si>
    <t>MARIO
Cel.920 150 336</t>
  </si>
  <si>
    <t>COTIZACIÓN PROPUESTA_ACNUR_MURALES, SEÑALETICAS_19.11.25</t>
  </si>
  <si>
    <t>MURALES</t>
  </si>
  <si>
    <t>Primera quincena de Diciembre</t>
  </si>
  <si>
    <r>
      <rPr>
        <b/>
        <u/>
        <sz val="16"/>
        <color rgb="FF000000"/>
        <rFont val="Arial"/>
        <family val="2"/>
      </rPr>
      <t xml:space="preserve">MURALES
</t>
    </r>
    <r>
      <rPr>
        <sz val="16"/>
        <color rgb="FF000000"/>
        <rFont val="Arial"/>
        <family val="2"/>
      </rPr>
      <t xml:space="preserve">Material: Celtex 3mm 
Medidas:
- Morados (100 x 50 cm): 2 UND
- Naranja (100 x 150 cm): 7 UND
- Amarillos (100 x 200 cm): 6 UND
- Azules (200  x 200 cm): 5 UND
- Verdes (300 x 200 cm): 3 UND
- Mostaza (400 x 100 cm): 3 UND
Impresion vinil laminado y pegado en plancha.
Medidas: Personalizadas según diseño de la (Especificacion tecnica adjunto).
Impresión full color 
</t>
    </r>
    <r>
      <rPr>
        <b/>
        <sz val="16"/>
        <color rgb="FF000000"/>
        <rFont val="Arial"/>
        <family val="2"/>
      </rPr>
      <t>Incluye instalacion en 3 distritos: Cercado de lima,San Juan de Lurigancho,Puebalo libre</t>
    </r>
    <r>
      <rPr>
        <sz val="16"/>
        <color rgb="FF000000"/>
        <rFont val="Arial"/>
        <family val="2"/>
      </rPr>
      <t xml:space="preserve"> (Según distribucion en la especificacion tecnica)
</t>
    </r>
    <r>
      <rPr>
        <sz val="16"/>
        <color rgb="FFFF0000"/>
        <rFont val="Arial"/>
        <family val="2"/>
      </rPr>
      <t>*Arte y diseño debe ser facilitado por el cliente.</t>
    </r>
  </si>
  <si>
    <t xml:space="preserve">
26 murales
 S/.4,875 +IGV
+
Movilidad con instalacion
Instalación  cercado de lima S/.800 +IGV
Instalacion SJL S/900 +IGV
Instalación Pueblo Libre S/1,270 +IGV</t>
  </si>
  <si>
    <t>SEÑALETICAS</t>
  </si>
  <si>
    <r>
      <rPr>
        <b/>
        <u/>
        <sz val="16"/>
        <color rgb="FF000000"/>
        <rFont val="Arial"/>
        <family val="2"/>
      </rPr>
      <t xml:space="preserve">SEÑALETICAS
</t>
    </r>
    <r>
      <rPr>
        <sz val="16"/>
        <color rgb="FF000000"/>
        <rFont val="Arial"/>
        <family val="2"/>
      </rPr>
      <t xml:space="preserve">Material: Celtex 3mm
Medidas:
- 30 x 20 cm 57 UND
- 30 x 11 cm  2 UND
- 15 x 21 cm  10 UND  
- 42 x 29.70 cm 7 UND
Impresion vinil laminado y pegado en plancha.
Medidas: Personalizadas según diseño de la (Especificacion tecnica adjunto).
Impresión full color 
</t>
    </r>
    <r>
      <rPr>
        <b/>
        <sz val="16"/>
        <color rgb="FF000000"/>
        <rFont val="Arial"/>
        <family val="2"/>
      </rPr>
      <t>Incluye instalacion en 3 distritos: Cercado de lima,San Juan de Lurigancho,Puebalo libre</t>
    </r>
    <r>
      <rPr>
        <sz val="16"/>
        <color rgb="FF000000"/>
        <rFont val="Arial"/>
        <family val="2"/>
      </rPr>
      <t xml:space="preserve"> (Según distribucion en la especificacion tecnica)
</t>
    </r>
    <r>
      <rPr>
        <sz val="16"/>
        <color rgb="FFFF0000"/>
        <rFont val="Arial"/>
        <family val="2"/>
      </rPr>
      <t>*Arte y diseño debe ser facilitado por el cliente.</t>
    </r>
  </si>
  <si>
    <t>76 murales
 S/.342 +IGV
+
Movilidad con instalacion
Instalación  cercado de lima S/.800 +IGV
Instalacion SJL S/900 +IGV
Instalación Pueblo Libre S/1,270 +IGV</t>
  </si>
  <si>
    <t>REAJUSATDO CON  GASTOS REALES</t>
  </si>
  <si>
    <t>Observaciones</t>
  </si>
  <si>
    <t>9 Días calendario</t>
  </si>
  <si>
    <r>
      <rPr>
        <b/>
        <u/>
        <sz val="16"/>
        <color rgb="FF000000"/>
        <rFont val="Arial"/>
        <family val="2"/>
      </rPr>
      <t xml:space="preserve">MURALES
</t>
    </r>
    <r>
      <rPr>
        <sz val="16"/>
        <color rgb="FF000000"/>
        <rFont val="Arial"/>
        <family val="2"/>
      </rPr>
      <t xml:space="preserve">Material: PVC Celtex 3mm 
Medidas:
- 1.5 x 2.70 mt (1)
- 1.20 x 0.95  mt / 1.30 x 2.30 mt
- 1.50 x 4.70 / 1,80 x 3.10 / 1.50 x 2.70 
- 1.50 x  3.10 / 1.40 x 4.90 / 1.70 x 5.10 
- 2.18 x 1.50 
- 2.15 x 2.70 / 1.20 x 2.10 
- 1.80 x 3.10 / 1.20 x 2.10 
- 60 x 90cm (3)
- 50 x 1.40 cm (3)
- 50 x 1.40 cm  (3)
- 50 x 1.40 cm   (4)
Impresion vinil laminado y pegado en plancha.
Impresión full color 
</t>
    </r>
    <r>
      <rPr>
        <b/>
        <sz val="16"/>
        <color rgb="FF000000"/>
        <rFont val="Arial"/>
        <family val="2"/>
      </rPr>
      <t>Incluye visita e instalacion en San Martín de Porres</t>
    </r>
    <r>
      <rPr>
        <sz val="16"/>
        <color rgb="FF000000"/>
        <rFont val="Arial"/>
        <family val="2"/>
      </rPr>
      <t xml:space="preserve">
</t>
    </r>
    <r>
      <rPr>
        <sz val="16"/>
        <color rgb="FFFF0000"/>
        <rFont val="Arial"/>
        <family val="2"/>
      </rPr>
      <t>*Arte y diseño debe ser facilitado por el cliente.</t>
    </r>
  </si>
  <si>
    <r>
      <rPr>
        <b/>
        <u/>
        <sz val="16"/>
        <color rgb="FF000000"/>
        <rFont val="Arial"/>
        <family val="2"/>
      </rPr>
      <t xml:space="preserve">SEÑALETICAS
</t>
    </r>
    <r>
      <rPr>
        <sz val="16"/>
        <color rgb="FF000000"/>
        <rFont val="Arial"/>
        <family val="2"/>
      </rPr>
      <t xml:space="preserve">Material: PVC Celtex 3mm 
Medidas:
- 42 x 29.7 cm (4)
- 15 x 21 cm (3)
- 15 x 21 cm (2)
- 40 x 40 cm (5)
- 30 x 20 cm (4)
- 30 x 20 cm (1)
- 30 x 20 cm (10)
- 60 x 50 cm (1)
- 60 x 50 cm
- 60 x 50 cm
Impresion vinil laminado y pegado en plancha.
Impresión full color 
</t>
    </r>
    <r>
      <rPr>
        <b/>
        <sz val="16"/>
        <color rgb="FF000000"/>
        <rFont val="Arial"/>
        <family val="2"/>
      </rPr>
      <t>Incluye visita e instalacion en San Martín de Porres</t>
    </r>
    <r>
      <rPr>
        <sz val="16"/>
        <color rgb="FF000000"/>
        <rFont val="Arial"/>
        <family val="2"/>
      </rPr>
      <t xml:space="preserve">
</t>
    </r>
    <r>
      <rPr>
        <sz val="16"/>
        <color rgb="FFFF0000"/>
        <rFont val="Arial"/>
        <family val="2"/>
      </rPr>
      <t>*Arte y diseño debe ser facilitado por el cliente.</t>
    </r>
  </si>
  <si>
    <t>Instalación en el sitio 
Material doble contacto y zikaflex 
Todo S/950</t>
  </si>
  <si>
    <t>SUBTOTAL SIN IGV</t>
  </si>
  <si>
    <t>COTIZACIÓN PROPUESTA_ACNUR_04.06.26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</si>
</sst>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S/.-280A]\ #,##0.00"/>
    <numFmt numFmtId="165" formatCode="&quot;S/.&quot;\ #,##0.00"/>
    <numFmt numFmtId="166" formatCode="&quot;S/&quot;\ #,##0.00"/>
    <numFmt numFmtId="167" formatCode="&quot;S/. &quot;#,##0.0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color indexed="8"/>
      <name val="Arial"/>
      <family val="2"/>
    </font>
    <font>
      <sz val="11"/>
      <name val="Arial"/>
      <family val="2"/>
    </font>
    <font>
      <sz val="14"/>
      <color indexed="8"/>
      <name val="Calibri"/>
      <family val="2"/>
    </font>
    <font>
      <b/>
      <sz val="14"/>
      <color indexed="8"/>
      <name val="Arial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sz val="16"/>
      <color indexed="8"/>
      <name val="Arial"/>
      <family val="2"/>
    </font>
    <font>
      <b/>
      <u/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rgb="FFFF0000"/>
      <name val="Arial"/>
      <family val="2"/>
    </font>
    <font>
      <sz val="16"/>
      <color theme="1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rgb="FFFF0000"/>
      <name val="Arial"/>
      <family val="2"/>
    </font>
    <font>
      <b/>
      <sz val="16"/>
      <color theme="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6"/>
      <color rgb="FF000000"/>
      <name val="Arial"/>
      <family val="2"/>
    </font>
    <font>
      <b/>
      <sz val="18"/>
      <color rgb="FFFF0000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000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4" fillId="2" borderId="0" xfId="3" applyFont="1" applyFill="1"/>
    <xf numFmtId="49" fontId="2" fillId="2" borderId="0" xfId="2" applyNumberFormat="1" applyFill="1" applyAlignment="1">
      <alignment vertical="center" wrapText="1"/>
    </xf>
    <xf numFmtId="0" fontId="4" fillId="2" borderId="0" xfId="3" applyFont="1" applyFill="1" applyAlignment="1">
      <alignment vertical="center"/>
    </xf>
    <xf numFmtId="0" fontId="4" fillId="2" borderId="0" xfId="3" applyFont="1" applyFill="1" applyAlignment="1">
      <alignment wrapText="1"/>
    </xf>
    <xf numFmtId="0" fontId="5" fillId="0" borderId="0" xfId="0" applyFont="1"/>
    <xf numFmtId="0" fontId="6" fillId="3" borderId="4" xfId="3" applyFont="1" applyFill="1" applyBorder="1" applyAlignment="1">
      <alignment horizontal="center" vertical="center" wrapText="1"/>
    </xf>
    <xf numFmtId="0" fontId="6" fillId="3" borderId="4" xfId="4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4" borderId="5" xfId="2" applyFont="1" applyFill="1" applyBorder="1" applyAlignment="1">
      <alignment horizontal="center" vertical="center" wrapText="1"/>
    </xf>
    <xf numFmtId="0" fontId="7" fillId="4" borderId="6" xfId="2" applyFont="1" applyFill="1" applyBorder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8" fillId="5" borderId="6" xfId="2" applyFont="1" applyFill="1" applyBorder="1" applyAlignment="1">
      <alignment horizontal="center" vertical="center" wrapText="1"/>
    </xf>
    <xf numFmtId="0" fontId="8" fillId="5" borderId="7" xfId="2" applyFont="1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8" fillId="3" borderId="6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7" fillId="6" borderId="8" xfId="2" applyFont="1" applyFill="1" applyBorder="1" applyAlignment="1">
      <alignment horizontal="center" vertical="center" wrapText="1"/>
    </xf>
    <xf numFmtId="0" fontId="7" fillId="6" borderId="6" xfId="2" applyFont="1" applyFill="1" applyBorder="1" applyAlignment="1">
      <alignment horizontal="center" vertical="center" wrapText="1"/>
    </xf>
    <xf numFmtId="9" fontId="7" fillId="6" borderId="7" xfId="2" applyNumberFormat="1" applyFont="1" applyFill="1" applyBorder="1" applyAlignment="1">
      <alignment horizontal="center" vertical="center"/>
    </xf>
    <xf numFmtId="0" fontId="9" fillId="0" borderId="0" xfId="5" applyFont="1"/>
    <xf numFmtId="0" fontId="9" fillId="0" borderId="4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wrapText="1"/>
    </xf>
    <xf numFmtId="0" fontId="12" fillId="0" borderId="4" xfId="2" applyFont="1" applyBorder="1" applyAlignment="1">
      <alignment horizontal="center" vertical="center" wrapText="1"/>
    </xf>
    <xf numFmtId="164" fontId="13" fillId="7" borderId="4" xfId="2" applyNumberFormat="1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 wrapText="1"/>
    </xf>
    <xf numFmtId="0" fontId="14" fillId="0" borderId="4" xfId="6" applyFont="1" applyBorder="1" applyAlignment="1">
      <alignment vertical="center" wrapText="1"/>
    </xf>
    <xf numFmtId="165" fontId="12" fillId="0" borderId="4" xfId="7" applyNumberFormat="1" applyFont="1" applyBorder="1" applyAlignment="1">
      <alignment horizontal="center" vertical="center" wrapText="1"/>
    </xf>
    <xf numFmtId="9" fontId="18" fillId="0" borderId="0" xfId="1" applyFont="1" applyAlignment="1">
      <alignment horizontal="center" vertical="center"/>
    </xf>
    <xf numFmtId="49" fontId="19" fillId="7" borderId="4" xfId="2" applyNumberFormat="1" applyFont="1" applyFill="1" applyBorder="1" applyAlignment="1">
      <alignment horizontal="center" vertical="center" wrapText="1"/>
    </xf>
    <xf numFmtId="49" fontId="9" fillId="7" borderId="1" xfId="2" applyNumberFormat="1" applyFont="1" applyFill="1" applyBorder="1" applyAlignment="1">
      <alignment vertical="center" wrapText="1"/>
    </xf>
    <xf numFmtId="49" fontId="20" fillId="7" borderId="4" xfId="2" applyNumberFormat="1" applyFont="1" applyFill="1" applyBorder="1" applyAlignment="1">
      <alignment horizontal="center" vertical="center" wrapText="1"/>
    </xf>
    <xf numFmtId="49" fontId="9" fillId="7" borderId="3" xfId="2" applyNumberFormat="1" applyFont="1" applyFill="1" applyBorder="1" applyAlignment="1">
      <alignment vertical="center" wrapText="1"/>
    </xf>
    <xf numFmtId="166" fontId="14" fillId="9" borderId="4" xfId="0" applyNumberFormat="1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164" fontId="18" fillId="11" borderId="4" xfId="2" applyNumberFormat="1" applyFont="1" applyFill="1" applyBorder="1" applyAlignment="1">
      <alignment horizontal="center" vertical="center"/>
    </xf>
    <xf numFmtId="165" fontId="21" fillId="11" borderId="4" xfId="2" applyNumberFormat="1" applyFont="1" applyFill="1" applyBorder="1" applyAlignment="1">
      <alignment horizontal="center" vertical="center"/>
    </xf>
    <xf numFmtId="165" fontId="22" fillId="11" borderId="4" xfId="2" applyNumberFormat="1" applyFont="1" applyFill="1" applyBorder="1" applyAlignment="1">
      <alignment horizontal="center" vertical="center"/>
    </xf>
    <xf numFmtId="0" fontId="19" fillId="0" borderId="4" xfId="2" applyFont="1" applyBorder="1" applyAlignment="1">
      <alignment horizontal="center" vertical="center" wrapText="1"/>
    </xf>
    <xf numFmtId="165" fontId="18" fillId="11" borderId="4" xfId="2" applyNumberFormat="1" applyFont="1" applyFill="1" applyBorder="1" applyAlignment="1">
      <alignment horizontal="center" vertical="center" wrapText="1"/>
    </xf>
    <xf numFmtId="167" fontId="9" fillId="12" borderId="4" xfId="2" applyNumberFormat="1" applyFont="1" applyFill="1" applyBorder="1" applyAlignment="1">
      <alignment horizontal="center" vertical="center"/>
    </xf>
    <xf numFmtId="165" fontId="17" fillId="7" borderId="4" xfId="2" applyNumberFormat="1" applyFont="1" applyFill="1" applyBorder="1" applyAlignment="1">
      <alignment horizontal="center" vertical="center"/>
    </xf>
    <xf numFmtId="165" fontId="9" fillId="7" borderId="4" xfId="0" applyNumberFormat="1" applyFont="1" applyFill="1" applyBorder="1" applyAlignment="1">
      <alignment horizontal="center" vertical="center" wrapText="1"/>
    </xf>
    <xf numFmtId="165" fontId="14" fillId="13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165" fontId="9" fillId="12" borderId="4" xfId="2" applyNumberFormat="1" applyFont="1" applyFill="1" applyBorder="1" applyAlignment="1">
      <alignment horizontal="center" vertical="center"/>
    </xf>
    <xf numFmtId="165" fontId="23" fillId="14" borderId="4" xfId="2" applyNumberFormat="1" applyFont="1" applyFill="1" applyBorder="1" applyAlignment="1">
      <alignment horizontal="center" vertical="center"/>
    </xf>
    <xf numFmtId="165" fontId="18" fillId="7" borderId="4" xfId="2" applyNumberFormat="1" applyFont="1" applyFill="1" applyBorder="1" applyAlignment="1">
      <alignment horizontal="center" vertical="center"/>
    </xf>
    <xf numFmtId="165" fontId="24" fillId="15" borderId="4" xfId="2" applyNumberFormat="1" applyFont="1" applyFill="1" applyBorder="1" applyAlignment="1">
      <alignment horizontal="center" vertical="center"/>
    </xf>
    <xf numFmtId="164" fontId="18" fillId="7" borderId="4" xfId="4" applyNumberFormat="1" applyFont="1" applyFill="1" applyBorder="1" applyAlignment="1">
      <alignment horizontal="center" vertical="center"/>
    </xf>
    <xf numFmtId="164" fontId="23" fillId="7" borderId="4" xfId="2" applyNumberFormat="1" applyFont="1" applyFill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25" fillId="0" borderId="0" xfId="5" applyFont="1"/>
    <xf numFmtId="0" fontId="26" fillId="0" borderId="0" xfId="0" applyFont="1"/>
    <xf numFmtId="0" fontId="3" fillId="0" borderId="4" xfId="2" applyFont="1" applyBorder="1" applyAlignment="1">
      <alignment horizontal="center" vertical="center"/>
    </xf>
    <xf numFmtId="0" fontId="2" fillId="0" borderId="0" xfId="2"/>
    <xf numFmtId="0" fontId="2" fillId="0" borderId="0" xfId="2" applyAlignment="1">
      <alignment horizontal="center"/>
    </xf>
    <xf numFmtId="0" fontId="28" fillId="0" borderId="0" xfId="2" applyFont="1"/>
    <xf numFmtId="0" fontId="29" fillId="16" borderId="9" xfId="2" applyFont="1" applyFill="1" applyBorder="1" applyAlignment="1">
      <alignment horizontal="center" vertical="center" wrapText="1"/>
    </xf>
    <xf numFmtId="0" fontId="29" fillId="16" borderId="10" xfId="2" applyFont="1" applyFill="1" applyBorder="1" applyAlignment="1">
      <alignment horizontal="center" vertical="center" wrapText="1"/>
    </xf>
    <xf numFmtId="0" fontId="30" fillId="11" borderId="10" xfId="2" applyFont="1" applyFill="1" applyBorder="1" applyAlignment="1">
      <alignment horizontal="center" vertical="center" wrapText="1"/>
    </xf>
    <xf numFmtId="0" fontId="30" fillId="17" borderId="10" xfId="2" applyFont="1" applyFill="1" applyBorder="1" applyAlignment="1">
      <alignment horizontal="center" vertical="center" wrapText="1"/>
    </xf>
    <xf numFmtId="0" fontId="29" fillId="15" borderId="10" xfId="2" applyFont="1" applyFill="1" applyBorder="1" applyAlignment="1">
      <alignment horizontal="center" vertical="center" wrapText="1"/>
    </xf>
    <xf numFmtId="0" fontId="31" fillId="15" borderId="10" xfId="2" applyFont="1" applyFill="1" applyBorder="1" applyAlignment="1">
      <alignment horizontal="center" vertical="center" wrapText="1"/>
    </xf>
    <xf numFmtId="9" fontId="31" fillId="15" borderId="11" xfId="2" applyNumberFormat="1" applyFont="1" applyFill="1" applyBorder="1" applyAlignment="1">
      <alignment horizontal="center" vertical="center"/>
    </xf>
    <xf numFmtId="0" fontId="2" fillId="0" borderId="4" xfId="2" applyBorder="1"/>
    <xf numFmtId="0" fontId="2" fillId="0" borderId="4" xfId="2" applyBorder="1" applyAlignment="1">
      <alignment vertical="center"/>
    </xf>
    <xf numFmtId="0" fontId="2" fillId="0" borderId="4" xfId="2" applyBorder="1" applyAlignment="1">
      <alignment horizontal="center"/>
    </xf>
    <xf numFmtId="0" fontId="2" fillId="0" borderId="4" xfId="2" applyBorder="1" applyAlignment="1">
      <alignment wrapText="1"/>
    </xf>
    <xf numFmtId="49" fontId="32" fillId="7" borderId="4" xfId="2" applyNumberFormat="1" applyFont="1" applyFill="1" applyBorder="1" applyAlignment="1">
      <alignment horizontal="center" vertical="center" wrapText="1"/>
    </xf>
  </cellXfs>
  <cellStyles count="8">
    <cellStyle name="Normal" xfId="0" builtinId="0"/>
    <cellStyle name="Normal 10 2" xfId="5" xr:uid="{4541813C-2F1D-41E0-9088-4F0261C14DB4}"/>
    <cellStyle name="Normal 2 2" xfId="2" xr:uid="{21A5D65D-5ACF-4E2C-8134-B65FE0988865}"/>
    <cellStyle name="Normal 2 3 2 2" xfId="7" xr:uid="{E3B982AD-B4A8-4612-910A-6DF8C1E1F0A5}"/>
    <cellStyle name="Normal 3 3 2" xfId="6" xr:uid="{25A4DCD0-2D58-4EFB-BF10-C68BEE307BDF}"/>
    <cellStyle name="Normal 3 4 2" xfId="4" xr:uid="{37D6DCAC-3F56-439C-91FA-B4C40C7FC921}"/>
    <cellStyle name="Normal 4 2" xfId="3" xr:uid="{5D09A2C0-4B9E-4A78-AC88-A8979EBC2C4A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A9D6-41E3-4B27-BD4F-19D25D09C313}">
  <dimension ref="A2:HY17"/>
  <sheetViews>
    <sheetView showGridLines="0" tabSelected="1" topLeftCell="B1" zoomScale="40" zoomScaleNormal="40" workbookViewId="0">
      <selection activeCell="I4" sqref="I4"/>
    </sheetView>
  </sheetViews>
  <sheetFormatPr baseColWidth="10" defaultColWidth="11.42578125" defaultRowHeight="12.75" x14ac:dyDescent="0.2"/>
  <cols>
    <col min="1" max="1" width="2.5703125" style="63" customWidth="1"/>
    <col min="2" max="2" width="7" style="64" customWidth="1"/>
    <col min="3" max="3" width="13.85546875" style="64" customWidth="1"/>
    <col min="4" max="4" width="20.7109375" style="63" customWidth="1"/>
    <col min="5" max="5" width="40" style="63" customWidth="1"/>
    <col min="6" max="6" width="13.5703125" style="63" customWidth="1"/>
    <col min="7" max="7" width="31.85546875" style="63" customWidth="1"/>
    <col min="8" max="8" width="20" style="63" customWidth="1"/>
    <col min="9" max="9" width="98.7109375" style="63" customWidth="1"/>
    <col min="10" max="10" width="29.85546875" style="63" customWidth="1"/>
    <col min="11" max="11" width="16.85546875" style="63" customWidth="1"/>
    <col min="12" max="12" width="14.85546875" style="63" customWidth="1"/>
    <col min="13" max="13" width="40" style="63" customWidth="1"/>
    <col min="14" max="14" width="11.42578125" style="63"/>
    <col min="15" max="15" width="29.85546875" style="63" customWidth="1"/>
    <col min="16" max="16" width="13.5703125" style="63" customWidth="1"/>
    <col min="17" max="17" width="21.140625" style="63" customWidth="1"/>
    <col min="18" max="18" width="13.5703125" style="63" customWidth="1"/>
    <col min="19" max="19" width="20.140625" style="63" customWidth="1"/>
    <col min="20" max="20" width="29.140625" style="63" customWidth="1"/>
    <col min="21" max="21" width="32" style="63" customWidth="1"/>
    <col min="22" max="22" width="17.42578125" style="63" bestFit="1" customWidth="1"/>
    <col min="23" max="23" width="20" style="63" customWidth="1"/>
    <col min="24" max="24" width="26.140625" style="63" customWidth="1"/>
    <col min="25" max="25" width="21.7109375" style="63" customWidth="1"/>
    <col min="26" max="26" width="21.85546875" style="63" customWidth="1"/>
    <col min="27" max="27" width="22" style="63" customWidth="1"/>
    <col min="28" max="29" width="11.7109375" style="63" bestFit="1" customWidth="1"/>
    <col min="30" max="30" width="15.42578125" style="63" customWidth="1"/>
    <col min="31" max="31" width="13.5703125" style="63" customWidth="1"/>
    <col min="32" max="32" width="23" style="63" customWidth="1"/>
    <col min="33" max="33" width="22.140625" style="63" customWidth="1"/>
    <col min="34" max="34" width="24.5703125" style="63" customWidth="1"/>
    <col min="35" max="35" width="24.28515625" style="63" customWidth="1"/>
    <col min="36" max="36" width="21.28515625" style="63" customWidth="1"/>
    <col min="37" max="37" width="11.42578125" style="63"/>
    <col min="38" max="38" width="14.85546875" style="63" bestFit="1" customWidth="1"/>
    <col min="39" max="39" width="12.7109375" style="63" bestFit="1" customWidth="1"/>
    <col min="40" max="40" width="11.5703125" style="63" bestFit="1" customWidth="1"/>
    <col min="41" max="41" width="12.7109375" style="63" bestFit="1" customWidth="1"/>
    <col min="42" max="42" width="14.85546875" style="63" bestFit="1" customWidth="1"/>
    <col min="43" max="43" width="12.7109375" style="63" bestFit="1" customWidth="1"/>
    <col min="44" max="44" width="11.42578125" style="63"/>
    <col min="45" max="46" width="11.5703125" style="63" bestFit="1" customWidth="1"/>
    <col min="47" max="16384" width="11.42578125" style="63"/>
  </cols>
  <sheetData>
    <row r="2" spans="1:233" customFormat="1" ht="21.75" customHeight="1" thickBot="1" x14ac:dyDescent="0.3">
      <c r="B2" s="1" t="s">
        <v>49</v>
      </c>
      <c r="C2" s="2"/>
      <c r="D2" s="2"/>
      <c r="E2" s="2"/>
      <c r="F2" s="2"/>
      <c r="G2" s="2"/>
      <c r="H2" s="2"/>
      <c r="I2" s="2"/>
      <c r="J2" s="3"/>
      <c r="K2" s="4"/>
      <c r="L2" s="5"/>
      <c r="M2" s="6"/>
      <c r="N2" s="5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8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233" s="9" customFormat="1" ht="54" x14ac:dyDescent="0.3"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1" t="s">
        <v>5</v>
      </c>
      <c r="H3" s="11" t="s">
        <v>6</v>
      </c>
      <c r="I3" s="11" t="s">
        <v>6</v>
      </c>
      <c r="J3" s="11" t="s">
        <v>7</v>
      </c>
      <c r="L3" s="12"/>
      <c r="M3" s="13" t="s">
        <v>8</v>
      </c>
      <c r="N3" s="14" t="s">
        <v>9</v>
      </c>
      <c r="O3" s="14" t="s">
        <v>10</v>
      </c>
      <c r="P3" s="15" t="s">
        <v>11</v>
      </c>
      <c r="Q3" s="16" t="s">
        <v>12</v>
      </c>
      <c r="R3" s="17" t="s">
        <v>13</v>
      </c>
      <c r="S3" s="17" t="s">
        <v>14</v>
      </c>
      <c r="T3" s="17" t="s">
        <v>15</v>
      </c>
      <c r="U3" s="17" t="s">
        <v>16</v>
      </c>
      <c r="V3" s="17" t="s">
        <v>17</v>
      </c>
      <c r="W3" s="18" t="s">
        <v>18</v>
      </c>
      <c r="X3" s="19" t="s">
        <v>19</v>
      </c>
      <c r="Y3" s="15" t="s">
        <v>20</v>
      </c>
      <c r="Z3" s="20" t="s">
        <v>21</v>
      </c>
      <c r="AA3" s="21" t="s">
        <v>22</v>
      </c>
      <c r="AB3" s="21" t="s">
        <v>23</v>
      </c>
      <c r="AC3" s="21" t="s">
        <v>24</v>
      </c>
      <c r="AD3" s="21" t="s">
        <v>25</v>
      </c>
      <c r="AE3" s="22" t="s">
        <v>26</v>
      </c>
      <c r="AF3" s="19" t="s">
        <v>27</v>
      </c>
      <c r="AG3" s="19" t="s">
        <v>28</v>
      </c>
      <c r="AH3" s="23" t="s">
        <v>16</v>
      </c>
      <c r="AI3" s="24" t="s">
        <v>29</v>
      </c>
      <c r="AJ3" s="24" t="s">
        <v>30</v>
      </c>
      <c r="AK3" s="25" t="s">
        <v>31</v>
      </c>
    </row>
    <row r="4" spans="1:233" s="61" customFormat="1" ht="408.75" customHeight="1" x14ac:dyDescent="0.3">
      <c r="A4" s="26"/>
      <c r="B4" s="27">
        <v>1</v>
      </c>
      <c r="C4" s="28" t="s">
        <v>35</v>
      </c>
      <c r="D4" s="29"/>
      <c r="E4" s="30" t="s">
        <v>32</v>
      </c>
      <c r="F4" s="31">
        <v>1</v>
      </c>
      <c r="G4" s="32">
        <v>7843</v>
      </c>
      <c r="H4" s="33" t="s">
        <v>44</v>
      </c>
      <c r="I4" s="34" t="s">
        <v>45</v>
      </c>
      <c r="J4" s="35">
        <f t="shared" ref="J4:J5" si="0">F4*G4</f>
        <v>7843</v>
      </c>
      <c r="K4" s="36"/>
      <c r="L4" s="36">
        <f>T4/J4</f>
        <v>0.27680734412852226</v>
      </c>
      <c r="M4" s="37" t="s">
        <v>33</v>
      </c>
      <c r="N4" s="38"/>
      <c r="O4" s="77" t="s">
        <v>47</v>
      </c>
      <c r="P4" s="40"/>
      <c r="Q4" s="41">
        <f>200+75+155+380+380+200+230+360+560+135+230+135+340+135+174+195+198+260</f>
        <v>4342</v>
      </c>
      <c r="R4" s="42">
        <v>50</v>
      </c>
      <c r="S4" s="43">
        <f t="shared" ref="S4:S5" si="1">Q4*R4/100</f>
        <v>2171</v>
      </c>
      <c r="T4" s="44">
        <f t="shared" ref="T4:T5" si="2">S4*V4</f>
        <v>2171</v>
      </c>
      <c r="U4" s="45">
        <f t="shared" ref="U4:U5" si="3">Q4+S4</f>
        <v>6513</v>
      </c>
      <c r="V4" s="46">
        <f t="shared" ref="V4:V5" si="4">F4</f>
        <v>1</v>
      </c>
      <c r="W4" s="47">
        <f>Q4*0</f>
        <v>0</v>
      </c>
      <c r="X4" s="48">
        <v>950</v>
      </c>
      <c r="Y4" s="49">
        <f t="shared" ref="Y4:Y5" si="5">V4*U4+W4+X4</f>
        <v>7463</v>
      </c>
      <c r="Z4" s="50"/>
      <c r="AA4" s="51">
        <v>0</v>
      </c>
      <c r="AB4" s="52">
        <v>1</v>
      </c>
      <c r="AC4" s="52">
        <v>1</v>
      </c>
      <c r="AD4" s="52">
        <v>1</v>
      </c>
      <c r="AE4" s="49">
        <f t="shared" ref="AE4:AE5" si="6">AA4*AB4*AC4*AD4</f>
        <v>0</v>
      </c>
      <c r="AF4" s="53">
        <f>3.5*5</f>
        <v>17.5</v>
      </c>
      <c r="AG4" s="54">
        <f>2.5%*(Y4+AE4+AF4)</f>
        <v>187.01250000000002</v>
      </c>
      <c r="AH4" s="55">
        <f t="shared" ref="AH4:AH5" si="7">Y4+AE4+AG4+AF4</f>
        <v>7667.5124999999998</v>
      </c>
      <c r="AI4" s="56">
        <f t="shared" ref="AI4:AI5" si="8">AH4/V4</f>
        <v>7667.5124999999998</v>
      </c>
      <c r="AJ4" s="57">
        <f t="shared" ref="AJ4:AJ5" si="9">AI4*18%</f>
        <v>1380.1522499999999</v>
      </c>
      <c r="AK4" s="58">
        <f t="shared" ref="AK4:AK5" si="10">AI4+AJ4</f>
        <v>9047.6647499999999</v>
      </c>
      <c r="AL4" s="59">
        <v>3.5</v>
      </c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</row>
    <row r="5" spans="1:233" s="61" customFormat="1" ht="408.75" customHeight="1" x14ac:dyDescent="0.3">
      <c r="A5" s="26"/>
      <c r="B5" s="27">
        <v>2</v>
      </c>
      <c r="C5" s="28" t="s">
        <v>39</v>
      </c>
      <c r="D5" s="29"/>
      <c r="E5" s="30" t="s">
        <v>32</v>
      </c>
      <c r="F5" s="31">
        <v>1</v>
      </c>
      <c r="G5" s="32">
        <v>948</v>
      </c>
      <c r="H5" s="33" t="s">
        <v>44</v>
      </c>
      <c r="I5" s="34" t="s">
        <v>46</v>
      </c>
      <c r="J5" s="35">
        <f t="shared" si="0"/>
        <v>948</v>
      </c>
      <c r="K5" s="36"/>
      <c r="L5" s="36">
        <f>T5/J5</f>
        <v>0.31170886075949367</v>
      </c>
      <c r="M5" s="37" t="s">
        <v>33</v>
      </c>
      <c r="N5" s="38"/>
      <c r="O5" s="39"/>
      <c r="P5" s="40"/>
      <c r="Q5" s="41">
        <f>60+16+8+100+28+7+70+35+35+35</f>
        <v>394</v>
      </c>
      <c r="R5" s="42">
        <v>75</v>
      </c>
      <c r="S5" s="43">
        <f t="shared" si="1"/>
        <v>295.5</v>
      </c>
      <c r="T5" s="44">
        <f t="shared" si="2"/>
        <v>295.5</v>
      </c>
      <c r="U5" s="45">
        <f t="shared" si="3"/>
        <v>689.5</v>
      </c>
      <c r="V5" s="46">
        <f t="shared" si="4"/>
        <v>1</v>
      </c>
      <c r="W5" s="47">
        <f>Q5*0</f>
        <v>0</v>
      </c>
      <c r="X5" s="48">
        <v>150</v>
      </c>
      <c r="Y5" s="49">
        <f t="shared" si="5"/>
        <v>839.5</v>
      </c>
      <c r="Z5" s="50"/>
      <c r="AA5" s="51">
        <v>0</v>
      </c>
      <c r="AB5" s="52">
        <v>1</v>
      </c>
      <c r="AC5" s="52">
        <v>1</v>
      </c>
      <c r="AD5" s="52">
        <v>1</v>
      </c>
      <c r="AE5" s="49">
        <f t="shared" si="6"/>
        <v>0</v>
      </c>
      <c r="AF5" s="53">
        <f>3.5*5</f>
        <v>17.5</v>
      </c>
      <c r="AG5" s="54">
        <f>2.5%*(Y5+AE5+AF5)</f>
        <v>21.425000000000001</v>
      </c>
      <c r="AH5" s="55">
        <f t="shared" si="7"/>
        <v>878.42499999999995</v>
      </c>
      <c r="AI5" s="56">
        <f t="shared" si="8"/>
        <v>878.42499999999995</v>
      </c>
      <c r="AJ5" s="57">
        <f t="shared" si="9"/>
        <v>158.11649999999997</v>
      </c>
      <c r="AK5" s="58">
        <f t="shared" si="10"/>
        <v>1036.5414999999998</v>
      </c>
      <c r="AL5" s="59">
        <v>3.5</v>
      </c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</row>
    <row r="6" spans="1:233" customFormat="1" ht="23.25" x14ac:dyDescent="0.25">
      <c r="I6" s="11" t="s">
        <v>48</v>
      </c>
      <c r="J6" s="35">
        <f>SUM(J4:J5)</f>
        <v>8791</v>
      </c>
      <c r="L6" s="36">
        <f>T6/J6</f>
        <v>0.28057103856216586</v>
      </c>
      <c r="R6">
        <f>AVERAGE(R4:R5)</f>
        <v>62.5</v>
      </c>
      <c r="T6" s="44">
        <f>SUM(T4:T5)</f>
        <v>2466.5</v>
      </c>
      <c r="X6" s="44">
        <f>SUM(X4:X5)</f>
        <v>1100</v>
      </c>
      <c r="AF6" s="44">
        <f>SUM(AF4:AF5)</f>
        <v>35</v>
      </c>
      <c r="AG6" s="44">
        <f>SUM(AG4:AG5)</f>
        <v>208.43750000000003</v>
      </c>
    </row>
    <row r="8" spans="1:233" customFormat="1" ht="21.75" customHeight="1" thickBot="1" x14ac:dyDescent="0.3">
      <c r="B8" s="62" t="s">
        <v>34</v>
      </c>
      <c r="C8" s="62"/>
      <c r="D8" s="62"/>
      <c r="E8" s="62"/>
      <c r="F8" s="62"/>
      <c r="G8" s="62"/>
      <c r="H8" s="62"/>
      <c r="I8" s="62"/>
      <c r="J8" s="62"/>
      <c r="K8" s="4"/>
      <c r="L8" s="5"/>
      <c r="M8" s="6"/>
      <c r="N8" s="5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8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233" s="9" customFormat="1" ht="54" x14ac:dyDescent="0.3">
      <c r="B9" s="10" t="s">
        <v>0</v>
      </c>
      <c r="C9" s="10" t="s">
        <v>1</v>
      </c>
      <c r="D9" s="10" t="s">
        <v>2</v>
      </c>
      <c r="E9" s="10" t="s">
        <v>3</v>
      </c>
      <c r="F9" s="10" t="s">
        <v>4</v>
      </c>
      <c r="G9" s="11" t="s">
        <v>5</v>
      </c>
      <c r="H9" s="11" t="s">
        <v>6</v>
      </c>
      <c r="I9" s="11" t="s">
        <v>6</v>
      </c>
      <c r="J9" s="11" t="s">
        <v>7</v>
      </c>
      <c r="L9" s="12"/>
      <c r="M9" s="13" t="s">
        <v>8</v>
      </c>
      <c r="N9" s="14" t="s">
        <v>9</v>
      </c>
      <c r="O9" s="14" t="s">
        <v>10</v>
      </c>
      <c r="P9" s="15" t="s">
        <v>11</v>
      </c>
      <c r="Q9" s="16" t="s">
        <v>12</v>
      </c>
      <c r="R9" s="17" t="s">
        <v>13</v>
      </c>
      <c r="S9" s="17" t="s">
        <v>14</v>
      </c>
      <c r="T9" s="17" t="s">
        <v>15</v>
      </c>
      <c r="U9" s="17" t="s">
        <v>16</v>
      </c>
      <c r="V9" s="17" t="s">
        <v>17</v>
      </c>
      <c r="W9" s="18" t="s">
        <v>18</v>
      </c>
      <c r="X9" s="19" t="s">
        <v>19</v>
      </c>
      <c r="Y9" s="15" t="s">
        <v>20</v>
      </c>
      <c r="Z9" s="20" t="s">
        <v>21</v>
      </c>
      <c r="AA9" s="21" t="s">
        <v>22</v>
      </c>
      <c r="AB9" s="21" t="s">
        <v>23</v>
      </c>
      <c r="AC9" s="21" t="s">
        <v>24</v>
      </c>
      <c r="AD9" s="21" t="s">
        <v>25</v>
      </c>
      <c r="AE9" s="22" t="s">
        <v>26</v>
      </c>
      <c r="AF9" s="19" t="s">
        <v>27</v>
      </c>
      <c r="AG9" s="19" t="s">
        <v>28</v>
      </c>
      <c r="AH9" s="23" t="s">
        <v>16</v>
      </c>
      <c r="AI9" s="24" t="s">
        <v>29</v>
      </c>
      <c r="AJ9" s="24" t="s">
        <v>30</v>
      </c>
      <c r="AK9" s="25" t="s">
        <v>31</v>
      </c>
    </row>
    <row r="10" spans="1:233" s="61" customFormat="1" ht="408.75" customHeight="1" x14ac:dyDescent="0.3">
      <c r="A10" s="26"/>
      <c r="B10" s="27">
        <v>1</v>
      </c>
      <c r="C10" s="28" t="s">
        <v>35</v>
      </c>
      <c r="D10" s="29"/>
      <c r="E10" s="30" t="s">
        <v>32</v>
      </c>
      <c r="F10" s="31">
        <v>26</v>
      </c>
      <c r="G10" s="32">
        <v>369.9</v>
      </c>
      <c r="H10" s="33" t="s">
        <v>36</v>
      </c>
      <c r="I10" s="34" t="s">
        <v>37</v>
      </c>
      <c r="J10" s="35">
        <f t="shared" ref="J10:J11" si="11">F10*G10</f>
        <v>9617.4</v>
      </c>
      <c r="K10" s="36"/>
      <c r="L10" s="36">
        <f>T10/J10</f>
        <v>0.22303325223033252</v>
      </c>
      <c r="M10" s="37" t="s">
        <v>33</v>
      </c>
      <c r="N10" s="38"/>
      <c r="O10" s="39" t="s">
        <v>38</v>
      </c>
      <c r="P10" s="40"/>
      <c r="Q10" s="41">
        <f>4875/26</f>
        <v>187.5</v>
      </c>
      <c r="R10" s="42">
        <v>44</v>
      </c>
      <c r="S10" s="43">
        <f t="shared" ref="S10:S11" si="12">Q10*R10/100</f>
        <v>82.5</v>
      </c>
      <c r="T10" s="44">
        <f t="shared" ref="T10:T11" si="13">S10*V10</f>
        <v>2145</v>
      </c>
      <c r="U10" s="45">
        <f t="shared" ref="U10:U11" si="14">Q10+S10</f>
        <v>270</v>
      </c>
      <c r="V10" s="46">
        <f t="shared" ref="V10:V11" si="15">F10</f>
        <v>26</v>
      </c>
      <c r="W10" s="47">
        <f>Q10*0</f>
        <v>0</v>
      </c>
      <c r="X10" s="48">
        <f>600+700+1000 +30</f>
        <v>2330</v>
      </c>
      <c r="Y10" s="49">
        <f t="shared" ref="Y10:Y11" si="16">V10*U10+W10+X10</f>
        <v>9350</v>
      </c>
      <c r="Z10" s="50"/>
      <c r="AA10" s="51">
        <v>0</v>
      </c>
      <c r="AB10" s="52">
        <v>1</v>
      </c>
      <c r="AC10" s="52">
        <v>1</v>
      </c>
      <c r="AD10" s="52">
        <v>1</v>
      </c>
      <c r="AE10" s="49">
        <f t="shared" ref="AE10:AE11" si="17">AA10*AB10*AC10*AD10</f>
        <v>0</v>
      </c>
      <c r="AF10" s="53">
        <f>3.5*5</f>
        <v>17.5</v>
      </c>
      <c r="AG10" s="54">
        <f>2.5%*(Y10+AE10+AF10)</f>
        <v>234.1875</v>
      </c>
      <c r="AH10" s="55">
        <f t="shared" ref="AH10:AH11" si="18">Y10+AE10+AG10+AF10</f>
        <v>9601.6875</v>
      </c>
      <c r="AI10" s="56">
        <f t="shared" ref="AI10:AI11" si="19">AH10/V10</f>
        <v>369.29567307692309</v>
      </c>
      <c r="AJ10" s="57">
        <f t="shared" ref="AJ10:AJ11" si="20">AI10*18%</f>
        <v>66.473221153846154</v>
      </c>
      <c r="AK10" s="58">
        <f t="shared" ref="AK10:AK11" si="21">AI10+AJ10</f>
        <v>435.76889423076926</v>
      </c>
      <c r="AL10" s="59">
        <v>3.5</v>
      </c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</row>
    <row r="11" spans="1:233" s="61" customFormat="1" ht="360.75" customHeight="1" x14ac:dyDescent="0.3">
      <c r="A11" s="26"/>
      <c r="B11" s="27">
        <v>2</v>
      </c>
      <c r="C11" s="28" t="s">
        <v>39</v>
      </c>
      <c r="D11" s="29"/>
      <c r="E11" s="30" t="s">
        <v>32</v>
      </c>
      <c r="F11" s="31">
        <v>76</v>
      </c>
      <c r="G11" s="32">
        <f>AI11</f>
        <v>21.333136184210524</v>
      </c>
      <c r="H11" s="33" t="s">
        <v>36</v>
      </c>
      <c r="I11" s="34" t="s">
        <v>40</v>
      </c>
      <c r="J11" s="35">
        <f t="shared" si="11"/>
        <v>1621.3183499999998</v>
      </c>
      <c r="K11" s="36"/>
      <c r="L11" s="36">
        <f>T11/J11</f>
        <v>0.24194754842563773</v>
      </c>
      <c r="M11" s="37" t="s">
        <v>33</v>
      </c>
      <c r="N11" s="38"/>
      <c r="O11" s="39" t="s">
        <v>41</v>
      </c>
      <c r="P11" s="40"/>
      <c r="Q11" s="41">
        <f>342/76</f>
        <v>4.5</v>
      </c>
      <c r="R11" s="42">
        <v>114.7</v>
      </c>
      <c r="S11" s="43">
        <f t="shared" si="12"/>
        <v>5.1615000000000002</v>
      </c>
      <c r="T11" s="44">
        <f t="shared" si="13"/>
        <v>392.274</v>
      </c>
      <c r="U11" s="45">
        <f t="shared" si="14"/>
        <v>9.6615000000000002</v>
      </c>
      <c r="V11" s="46">
        <f t="shared" si="15"/>
        <v>76</v>
      </c>
      <c r="W11" s="47">
        <f>Q11*0</f>
        <v>0</v>
      </c>
      <c r="X11" s="48">
        <f>200+300+300 +30</f>
        <v>830</v>
      </c>
      <c r="Y11" s="49">
        <f t="shared" si="16"/>
        <v>1564.2739999999999</v>
      </c>
      <c r="Z11" s="50"/>
      <c r="AA11" s="51">
        <v>0</v>
      </c>
      <c r="AB11" s="52">
        <v>1</v>
      </c>
      <c r="AC11" s="52">
        <v>1</v>
      </c>
      <c r="AD11" s="52">
        <v>1</v>
      </c>
      <c r="AE11" s="49">
        <f t="shared" si="17"/>
        <v>0</v>
      </c>
      <c r="AF11" s="53">
        <f>3.5*5</f>
        <v>17.5</v>
      </c>
      <c r="AG11" s="54">
        <f>2.5%*(Y11+AE11+AF11)</f>
        <v>39.544350000000001</v>
      </c>
      <c r="AH11" s="55">
        <f t="shared" si="18"/>
        <v>1621.3183499999998</v>
      </c>
      <c r="AI11" s="56">
        <f t="shared" si="19"/>
        <v>21.333136184210524</v>
      </c>
      <c r="AJ11" s="57">
        <f t="shared" si="20"/>
        <v>3.8399645131578941</v>
      </c>
      <c r="AK11" s="58">
        <f t="shared" si="21"/>
        <v>25.173100697368419</v>
      </c>
      <c r="AL11" s="59">
        <v>3.5</v>
      </c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0"/>
      <c r="FC11" s="60"/>
      <c r="FD11" s="60"/>
      <c r="FE11" s="60"/>
      <c r="FF11" s="60"/>
      <c r="FG11" s="60"/>
      <c r="FH11" s="60"/>
      <c r="FI11" s="60"/>
      <c r="FJ11" s="60"/>
      <c r="FK11" s="60"/>
      <c r="FL11" s="60"/>
      <c r="FM11" s="60"/>
      <c r="FN11" s="60"/>
      <c r="FO11" s="60"/>
      <c r="FP11" s="60"/>
      <c r="FQ11" s="60"/>
      <c r="FR11" s="60"/>
      <c r="FS11" s="60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P11" s="60"/>
      <c r="GQ11" s="60"/>
      <c r="GR11" s="60"/>
      <c r="GS11" s="60"/>
      <c r="GT11" s="60"/>
      <c r="GU11" s="60"/>
      <c r="GV11" s="60"/>
      <c r="GW11" s="60"/>
      <c r="GX11" s="60"/>
      <c r="GY11" s="60"/>
      <c r="GZ11" s="60"/>
      <c r="HA11" s="60"/>
      <c r="HB11" s="60"/>
      <c r="HC11" s="60"/>
      <c r="HD11" s="60"/>
      <c r="HE11" s="60"/>
      <c r="HF11" s="60"/>
      <c r="HG11" s="60"/>
      <c r="HH11" s="60"/>
      <c r="HI11" s="60"/>
      <c r="HJ11" s="60"/>
      <c r="HK11" s="60"/>
      <c r="HL11" s="60"/>
      <c r="HM11" s="60"/>
      <c r="HN11" s="60"/>
      <c r="HO11" s="60"/>
      <c r="HP11" s="60"/>
      <c r="HQ11" s="60"/>
      <c r="HR11" s="60"/>
      <c r="HS11" s="60"/>
      <c r="HT11" s="60"/>
      <c r="HU11" s="60"/>
      <c r="HV11" s="60"/>
      <c r="HW11" s="60"/>
      <c r="HX11" s="60"/>
      <c r="HY11" s="60"/>
    </row>
    <row r="12" spans="1:233" customFormat="1" ht="23.25" x14ac:dyDescent="0.25">
      <c r="J12" s="35">
        <f>SUM(J10:J11)</f>
        <v>11238.718349999999</v>
      </c>
      <c r="R12">
        <f>AVERAGE(R10:R11)</f>
        <v>79.349999999999994</v>
      </c>
      <c r="T12" s="44">
        <f>SUM(T10:T11)</f>
        <v>2537.2739999999999</v>
      </c>
      <c r="X12" s="44">
        <f>SUM(X10:X11)</f>
        <v>3160</v>
      </c>
      <c r="AF12" s="44">
        <f>SUM(AF10:AF11)</f>
        <v>35</v>
      </c>
      <c r="AG12" s="44">
        <f>SUM(AG10:AG11)</f>
        <v>273.73185000000001</v>
      </c>
    </row>
    <row r="13" spans="1:233" ht="23.25" x14ac:dyDescent="0.2">
      <c r="J13" s="35">
        <v>11238.8</v>
      </c>
    </row>
    <row r="15" spans="1:233" ht="24" thickBot="1" x14ac:dyDescent="0.4">
      <c r="M15" s="65" t="s">
        <v>42</v>
      </c>
    </row>
    <row r="16" spans="1:233" ht="45" x14ac:dyDescent="0.2">
      <c r="M16" s="66" t="s">
        <v>8</v>
      </c>
      <c r="N16" s="67" t="s">
        <v>9</v>
      </c>
      <c r="O16" s="67" t="s">
        <v>43</v>
      </c>
      <c r="P16" s="67" t="s">
        <v>11</v>
      </c>
      <c r="Q16" s="68" t="s">
        <v>12</v>
      </c>
      <c r="R16" s="68" t="s">
        <v>13</v>
      </c>
      <c r="S16" s="68" t="s">
        <v>14</v>
      </c>
      <c r="T16" s="68" t="s">
        <v>15</v>
      </c>
      <c r="U16" s="68" t="s">
        <v>16</v>
      </c>
      <c r="V16" s="68" t="s">
        <v>17</v>
      </c>
      <c r="W16" s="68" t="s">
        <v>18</v>
      </c>
      <c r="X16" s="67" t="s">
        <v>19</v>
      </c>
      <c r="Y16" s="67" t="s">
        <v>20</v>
      </c>
      <c r="Z16" s="69" t="s">
        <v>21</v>
      </c>
      <c r="AA16" s="69" t="s">
        <v>22</v>
      </c>
      <c r="AB16" s="69" t="s">
        <v>23</v>
      </c>
      <c r="AC16" s="69" t="s">
        <v>24</v>
      </c>
      <c r="AD16" s="69" t="s">
        <v>25</v>
      </c>
      <c r="AE16" s="69" t="s">
        <v>26</v>
      </c>
      <c r="AF16" s="67" t="s">
        <v>27</v>
      </c>
      <c r="AG16" s="67" t="s">
        <v>28</v>
      </c>
      <c r="AH16" s="70" t="s">
        <v>16</v>
      </c>
      <c r="AI16" s="71" t="s">
        <v>29</v>
      </c>
      <c r="AJ16" s="71" t="s">
        <v>30</v>
      </c>
      <c r="AK16" s="72" t="s">
        <v>31</v>
      </c>
    </row>
    <row r="17" spans="13:37" x14ac:dyDescent="0.2">
      <c r="M17" s="73"/>
      <c r="N17" s="73"/>
      <c r="O17" s="74"/>
      <c r="P17" s="73"/>
      <c r="Q17" s="73"/>
      <c r="R17" s="73"/>
      <c r="S17" s="73"/>
      <c r="T17" s="73"/>
      <c r="U17" s="73"/>
      <c r="V17" s="75"/>
      <c r="W17" s="73"/>
      <c r="X17" s="73"/>
      <c r="Y17" s="73"/>
      <c r="Z17" s="76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</row>
  </sheetData>
  <mergeCells count="6">
    <mergeCell ref="B2:J2"/>
    <mergeCell ref="C4:D4"/>
    <mergeCell ref="B8:J8"/>
    <mergeCell ref="C10:D10"/>
    <mergeCell ref="C11:D11"/>
    <mergeCell ref="C5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Cotización1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Diana Orellana Estrada</dc:creator>
  <cp:lastModifiedBy>Lady Diana Orellana Estrada</cp:lastModifiedBy>
  <dcterms:created xsi:type="dcterms:W3CDTF">2026-06-04T21:08:53Z</dcterms:created>
  <dcterms:modified xsi:type="dcterms:W3CDTF">2026-06-04T22:32:04Z</dcterms:modified>
</cp:coreProperties>
</file>