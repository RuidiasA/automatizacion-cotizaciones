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a6e6ee203775ab/ÁREA COMERCIAL/COMPIPRO/CLIENTES/Cotizados/JORLE INDUSTRIAL/BD Cotizaciones/2026/"/>
    </mc:Choice>
  </mc:AlternateContent>
  <xr:revisionPtr revIDLastSave="19" documentId="13_ncr:1_{19A0E682-9D1B-4536-819F-4A3B8811B8B8}" xr6:coauthVersionLast="47" xr6:coauthVersionMax="47" xr10:uidLastSave="{60206719-1262-48C8-8753-F55E52998E61}"/>
  <bookViews>
    <workbookView xWindow="2550" yWindow="2640" windowWidth="20055" windowHeight="13095" activeTab="2" xr2:uid="{5EF042BE-D541-4C64-A551-A5C7E0FA035F}"/>
  </bookViews>
  <sheets>
    <sheet name="ENERO" sheetId="3" r:id="rId1"/>
    <sheet name="FEBRERO" sheetId="4" r:id="rId2"/>
    <sheet name="MAYO" sheetId="5" r:id="rId3"/>
  </sheets>
  <externalReferences>
    <externalReference r:id="rId4"/>
    <externalReference r:id="rId5"/>
  </externalReferences>
  <definedNames>
    <definedName name="ANALISIS">[1]LISTAS!$I$20:$I$27</definedName>
    <definedName name="ANALISIS1">[2]LISTAS!$I$20:$I$27</definedName>
    <definedName name="BAÑOS">[1]LISTAS!$F$32:$F$41</definedName>
    <definedName name="BAÑOS1">[2]LISTAS!$F$32:$F$41</definedName>
    <definedName name="CAMPAÑAS">[1]LISTAS!$A$10:$A$29</definedName>
    <definedName name="CATEGORIA">[1]LISTAS!$G$8:$J$8</definedName>
    <definedName name="EPOXICOS">[1]LISTAS!$F$20:$F$25</definedName>
    <definedName name="MATERIALES">'[1]BD INSUMOS'!$A$2:$A$142</definedName>
    <definedName name="MOD">[1]LISTAS!$F$42:$F$47</definedName>
    <definedName name="PROGRAMA">[1]LISTAS!$C$10:$C$14</definedName>
    <definedName name="SOLDADURAS">[1]LISTAS!$F$26:$F$31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5" l="1"/>
  <c r="Q5" i="5"/>
  <c r="S5" i="5"/>
  <c r="U5" i="5"/>
  <c r="W5" i="5" s="1"/>
  <c r="AE5" i="5"/>
  <c r="V5" i="5"/>
  <c r="AE4" i="5"/>
  <c r="V4" i="5"/>
  <c r="Q5" i="4"/>
  <c r="W5" i="4" s="1"/>
  <c r="Q4" i="4"/>
  <c r="W4" i="4" s="1"/>
  <c r="AF5" i="4"/>
  <c r="V5" i="4"/>
  <c r="V4" i="4"/>
  <c r="AF4" i="4" s="1"/>
  <c r="J5" i="4"/>
  <c r="J4" i="4"/>
  <c r="AE5" i="4"/>
  <c r="S5" i="4"/>
  <c r="U5" i="4" s="1"/>
  <c r="AE4" i="4"/>
  <c r="S4" i="4"/>
  <c r="U4" i="4" s="1"/>
  <c r="W11" i="4"/>
  <c r="V11" i="4"/>
  <c r="AF11" i="4" s="1"/>
  <c r="W12" i="4"/>
  <c r="V12" i="4"/>
  <c r="AF12" i="4" s="1"/>
  <c r="AE12" i="4"/>
  <c r="T5" i="5" l="1"/>
  <c r="Y5" i="5"/>
  <c r="S4" i="5"/>
  <c r="T4" i="5" s="1"/>
  <c r="Y5" i="4"/>
  <c r="T4" i="4"/>
  <c r="T5" i="4"/>
  <c r="Y4" i="4"/>
  <c r="AG4" i="4" s="1"/>
  <c r="S12" i="4"/>
  <c r="T12" i="4" s="1"/>
  <c r="J12" i="4"/>
  <c r="AG5" i="5" l="1"/>
  <c r="AH5" i="5" s="1"/>
  <c r="AI5" i="5" s="1"/>
  <c r="U4" i="5"/>
  <c r="W4" i="5" s="1"/>
  <c r="AG5" i="4"/>
  <c r="AH5" i="4" s="1"/>
  <c r="AI5" i="4" s="1"/>
  <c r="AJ5" i="4" s="1"/>
  <c r="AK5" i="4" s="1"/>
  <c r="AH4" i="4"/>
  <c r="AI4" i="4" s="1"/>
  <c r="U12" i="4"/>
  <c r="Y12" i="4" s="1"/>
  <c r="AG12" i="4" s="1"/>
  <c r="AH12" i="4" s="1"/>
  <c r="AI12" i="4" s="1"/>
  <c r="AJ12" i="4" s="1"/>
  <c r="AK12" i="4" s="1"/>
  <c r="AE11" i="4"/>
  <c r="Q18" i="4"/>
  <c r="W18" i="4" s="1"/>
  <c r="Q17" i="4"/>
  <c r="W17" i="4" s="1"/>
  <c r="V17" i="4"/>
  <c r="AF17" i="4" s="1"/>
  <c r="AE17" i="4"/>
  <c r="AE18" i="4"/>
  <c r="V18" i="4"/>
  <c r="AF18" i="4" s="1"/>
  <c r="W4" i="3"/>
  <c r="AE4" i="3"/>
  <c r="V4" i="3"/>
  <c r="S4" i="3"/>
  <c r="U4" i="3" s="1"/>
  <c r="AJ5" i="5" l="1"/>
  <c r="AK5" i="5" s="1"/>
  <c r="J5" i="5"/>
  <c r="Y4" i="5"/>
  <c r="AG4" i="5" s="1"/>
  <c r="AJ4" i="4"/>
  <c r="AK4" i="4" s="1"/>
  <c r="S18" i="4"/>
  <c r="S11" i="4"/>
  <c r="T11" i="4" s="1"/>
  <c r="S17" i="4"/>
  <c r="T17" i="4" s="1"/>
  <c r="T18" i="4"/>
  <c r="U18" i="4"/>
  <c r="Y18" i="4" s="1"/>
  <c r="AG18" i="4" s="1"/>
  <c r="Y4" i="3"/>
  <c r="AG4" i="3" s="1"/>
  <c r="T4" i="3"/>
  <c r="AH4" i="5" l="1"/>
  <c r="AI4" i="5" s="1"/>
  <c r="U11" i="4"/>
  <c r="Y11" i="4" s="1"/>
  <c r="AG11" i="4" s="1"/>
  <c r="U17" i="4"/>
  <c r="Y17" i="4" s="1"/>
  <c r="AG17" i="4" s="1"/>
  <c r="AH18" i="4"/>
  <c r="AI18" i="4" s="1"/>
  <c r="G18" i="4" s="1"/>
  <c r="J18" i="4" s="1"/>
  <c r="AH4" i="3"/>
  <c r="AI4" i="3" s="1"/>
  <c r="J4" i="5" l="1"/>
  <c r="AJ4" i="5"/>
  <c r="AK4" i="5" s="1"/>
  <c r="AH11" i="4"/>
  <c r="AI11" i="4" s="1"/>
  <c r="AJ11" i="4" s="1"/>
  <c r="AK11" i="4" s="1"/>
  <c r="J11" i="4"/>
  <c r="AH17" i="4"/>
  <c r="AI17" i="4" s="1"/>
  <c r="G17" i="4" s="1"/>
  <c r="J17" i="4" s="1"/>
  <c r="AJ18" i="4"/>
  <c r="AK18" i="4" s="1"/>
  <c r="AJ4" i="3"/>
  <c r="AK4" i="3" s="1"/>
  <c r="J4" i="3"/>
  <c r="AJ17" i="4" l="1"/>
  <c r="AK17" i="4" s="1"/>
  <c r="J5" i="3"/>
  <c r="J6" i="3" s="1"/>
  <c r="AF16" i="3"/>
</calcChain>
</file>

<file path=xl/sharedStrings.xml><?xml version="1.0" encoding="utf-8"?>
<sst xmlns="http://schemas.openxmlformats.org/spreadsheetml/2006/main" count="226" uniqueCount="59">
  <si>
    <t>Nº</t>
  </si>
  <si>
    <t>Cód. Artíc.</t>
  </si>
  <si>
    <t>Artículo</t>
  </si>
  <si>
    <t>Foto</t>
  </si>
  <si>
    <t>Cant.</t>
  </si>
  <si>
    <t xml:space="preserve">Costo Unitario
No IGV (S/.) </t>
  </si>
  <si>
    <t>Tiempo Entrega</t>
  </si>
  <si>
    <t>Detalles</t>
  </si>
  <si>
    <t xml:space="preserve">Costo Total
No IGV (S/.) 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</si>
  <si>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</si>
  <si>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</si>
  <si>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</si>
  <si>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</si>
  <si>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</si>
  <si>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</si>
  <si>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</si>
  <si>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</si>
  <si>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</si>
  <si>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</si>
  <si>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</si>
  <si>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</si>
  <si>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</si>
  <si>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</si>
  <si>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</si>
  <si>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</si>
  <si>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</si>
  <si>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</si>
  <si>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</si>
  <si>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</si>
  <si>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</si>
  <si>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</si>
  <si>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</si>
  <si>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EYF</t>
  </si>
  <si>
    <t>IGV</t>
  </si>
  <si>
    <t>5 a 7 días útiles</t>
  </si>
  <si>
    <t>Wilfredo
1000 a S/ 250
500 a S/ 180
250 a S/ 100
100 a S/ 60</t>
  </si>
  <si>
    <t>LAPICERO METÁLICO</t>
  </si>
  <si>
    <t>A-3016 
S/2.80 +IGV</t>
  </si>
  <si>
    <r>
      <t xml:space="preserve">LAPICERO METÁLICO
</t>
    </r>
    <r>
      <rPr>
        <sz val="16"/>
        <rFont val="Arial"/>
        <family val="2"/>
      </rPr>
      <t xml:space="preserve">Lapicero metálico de sistema  retráctil, con punta touch en la parte superior
Material: Metalico
Tinta: Seca color azul
Color: Gris gun
Presentación: Emaque grupal
</t>
    </r>
    <r>
      <rPr>
        <b/>
        <sz val="16"/>
        <color rgb="FFFF0000"/>
        <rFont val="Arial"/>
        <family val="2"/>
      </rPr>
      <t>*Incluye 1 logo a 1 color a un lado
*Diseño o arte facilitado por el cliente</t>
    </r>
  </si>
  <si>
    <t>COTIZACIÓN PROPUESTA_JORLE INDUSTRIAL_09.01.2026</t>
  </si>
  <si>
    <t>*Imagen Referencial</t>
  </si>
  <si>
    <t>CAJA DE CARTON</t>
  </si>
  <si>
    <t xml:space="preserve">YA INCLUYE </t>
  </si>
  <si>
    <t>9 a 12 días útiles</t>
  </si>
  <si>
    <r>
      <t xml:space="preserve">CAJA DE CARTON
</t>
    </r>
    <r>
      <rPr>
        <sz val="16"/>
        <rFont val="Arial"/>
        <family val="2"/>
      </rPr>
      <t xml:space="preserve">Material:Tipo: Corrugado- caton nacional
Espesor: 4.0 mm 
Medidas abierto: 51 cm largo x 29 cm acnho x 24 cm fuelle
Medida cerrada: 27 cm largo x 29 cm de ancho x 24 cm de fuelle
Presentación: Emaque grupal
</t>
    </r>
    <r>
      <rPr>
        <b/>
        <sz val="16"/>
        <color rgb="FFFF0000"/>
        <rFont val="Arial"/>
        <family val="2"/>
      </rPr>
      <t>impresion a 1 color en 4 lados y 1 logo a 1 color en  2 pestañas
*Diseño o arte facilitado por el cliente</t>
    </r>
    <r>
      <rPr>
        <b/>
        <u/>
        <sz val="16"/>
        <color indexed="8"/>
        <rFont val="Arial"/>
        <family val="2"/>
      </rPr>
      <t xml:space="preserve">
</t>
    </r>
    <r>
      <rPr>
        <b/>
        <sz val="16"/>
        <color rgb="FF002060"/>
        <rFont val="Arial"/>
        <family val="2"/>
      </rPr>
      <t>---------------------------
NO INCLUYE DESARROLLO DE MUESTRA FISICA</t>
    </r>
  </si>
  <si>
    <t>CHEMIKAL  PRINTPACK
907 675 091</t>
  </si>
  <si>
    <t>COTIZACIÓN PROPUESTA_JORLE INDUSTRIAL_20.02.2026</t>
  </si>
  <si>
    <t>500 uni...........3200
Millar..............5300
PRODUCCION 1 SEMANA</t>
  </si>
  <si>
    <t>COTIZACIÓN PROPUESTA_JORLE INDUSTRIAL_24.02.2026</t>
  </si>
  <si>
    <t>COTIZACIÓN PROPUESTA_JORLE INDUSTRIAL_12.05.2026</t>
  </si>
  <si>
    <t>TIEMPO 5 DIAS</t>
  </si>
  <si>
    <t>POLO</t>
  </si>
  <si>
    <t xml:space="preserve">7 a 10
días útiles </t>
  </si>
  <si>
    <r>
      <t xml:space="preserve">POLOS PUBLICITARIOS
</t>
    </r>
    <r>
      <rPr>
        <sz val="10"/>
        <rFont val="Arial"/>
        <family val="2"/>
      </rPr>
      <t xml:space="preserve">SIN REACTIIVO 
</t>
    </r>
    <r>
      <rPr>
        <b/>
        <sz val="10"/>
        <rFont val="Arial"/>
        <family val="2"/>
      </rPr>
      <t xml:space="preserve">12 a S/20 
INCLUIDO IGV C/U 
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 xml:space="preserve">CON REACTIVO
12 a S/23 
INCLUIDO IGV 
</t>
    </r>
    <r>
      <rPr>
        <sz val="10"/>
        <rFont val="Arial"/>
        <family val="2"/>
      </rPr>
      <t xml:space="preserve">
Costo adicional por tallas grandes
+S/4  TALLA XL  </t>
    </r>
    <r>
      <rPr>
        <sz val="11"/>
        <rFont val="Arial"/>
        <family val="2"/>
      </rPr>
      <t xml:space="preserve">
+S/8 XXL 
TEXTIL LA CENTRAL / DAVID
Precio S/.19 +IGV C/U 
Tiempo5 DÍAS 
</t>
    </r>
  </si>
  <si>
    <t xml:space="preserve">Costo Unit.
No IGV (S/.) </t>
  </si>
  <si>
    <r>
      <rPr>
        <b/>
        <sz val="8"/>
        <rFont val="Arial"/>
        <family val="2"/>
      </rPr>
      <t xml:space="preserve">CONFECCIONES REYES 956240802  </t>
    </r>
    <r>
      <rPr>
        <sz val="8"/>
        <rFont val="Arial"/>
        <family val="2"/>
      </rPr>
      <t xml:space="preserve">
TEXTIL LA CENTRAL 
David /Cel.953 106 889</t>
    </r>
  </si>
  <si>
    <t>50/50, Cercado lima</t>
  </si>
  <si>
    <r>
      <t xml:space="preserve">POLO  DIA DEL PADRE
</t>
    </r>
    <r>
      <rPr>
        <sz val="11"/>
        <rFont val="Arial"/>
        <family val="2"/>
      </rPr>
      <t xml:space="preserve">Material: Jersey 30/01 </t>
    </r>
    <r>
      <rPr>
        <b/>
        <sz val="12"/>
        <rFont val="Arial"/>
        <family val="2"/>
      </rPr>
      <t xml:space="preserve">REACTIVO
</t>
    </r>
    <r>
      <rPr>
        <sz val="11"/>
        <rFont val="Arial"/>
        <family val="2"/>
      </rPr>
      <t xml:space="preserve">Modelo: polo cuello redondo, manga corta 
Color: Azul (Con reactivo)
Tallas: S,M,L
Presentación: Embolsado individualx
Presentación grupal: Funda transparente
</t>
    </r>
    <r>
      <rPr>
        <b/>
        <sz val="11"/>
        <color rgb="FFFF0000"/>
        <rFont val="Arial"/>
        <family val="2"/>
      </rPr>
      <t>*Incluye 1 logo estampado  en el pecho tamaño A4  a 1 color
*Arte y diseño facilitado por el cliente</t>
    </r>
    <r>
      <rPr>
        <b/>
        <u/>
        <sz val="11"/>
        <color indexed="8"/>
        <rFont val="Arial"/>
        <family val="2"/>
      </rPr>
      <t xml:space="preserve"> 
 </t>
    </r>
    <r>
      <rPr>
        <b/>
        <sz val="11"/>
        <color rgb="FFFF0000"/>
        <rFont val="Arial"/>
        <family val="2"/>
      </rPr>
      <t xml:space="preserve">
COSTO ADICIONAL POR TALLAS GRANDES
XL (+4) , XXL(+8)</t>
    </r>
  </si>
  <si>
    <r>
      <t xml:space="preserve">POLO  DIA DEL PADRE 
</t>
    </r>
    <r>
      <rPr>
        <sz val="11"/>
        <rFont val="Arial"/>
        <family val="2"/>
      </rPr>
      <t xml:space="preserve">Material: Jersey 30/01 </t>
    </r>
    <r>
      <rPr>
        <b/>
        <sz val="12"/>
        <rFont val="Arial"/>
        <family val="2"/>
      </rPr>
      <t>SIN REACTIVO</t>
    </r>
    <r>
      <rPr>
        <sz val="11"/>
        <rFont val="Arial"/>
        <family val="2"/>
      </rPr>
      <t xml:space="preserve">
Modelo: polo cuello redondo, manga corta 
Color: color azul 
Tallas: por definir Presentación: Embolsado individual
*Incluye 1 logo estampado  en el pecho tamaño A4 
en a 1 color
*Arte y diseño facilitado por el cliente
Presentación grupal: Funda transparente
</t>
    </r>
    <r>
      <rPr>
        <b/>
        <sz val="11"/>
        <color rgb="FFFF0000"/>
        <rFont val="Arial"/>
        <family val="2"/>
      </rPr>
      <t>*Incluye 1 logo estampado  en el pecho tamaño A4  a 1 color
*Diseño o arte facilitado por el cliente 
COSTO ADICIONAL POR TALLAS GRANDES
XL (+4) , XXL(+8)</t>
    </r>
    <r>
      <rPr>
        <b/>
        <u/>
        <sz val="11"/>
        <color indexed="8"/>
        <rFont val="Arial"/>
        <family val="2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</si>
</sst>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[$$-409]* #,##0.00_ ;_-[$$-409]* \-#,##0.00\ ;_-[$$-409]* &quot;-&quot;??_ ;_-@_ "/>
    <numFmt numFmtId="165" formatCode="&quot;S/.&quot;\ #,##0.00"/>
    <numFmt numFmtId="166" formatCode="[$S/.-280A]\ #,##0.00"/>
    <numFmt numFmtId="167" formatCode="[$$-409]#,##0.00"/>
    <numFmt numFmtId="168" formatCode="&quot;S/. &quot;#,##0.00"/>
    <numFmt numFmtId="169" formatCode="_(* #,##0_);_(* \(#,##0\);_(* &quot;-&quot;??_);_(@_)"/>
    <numFmt numFmtId="170" formatCode="&quot;S/&quot;\ #,##0.00"/>
    <numFmt numFmtId="171" formatCode="_(* #,##0_);_(* \(#,##0\);_(* \-??_);_(@_)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rgb="FF000000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color indexed="52"/>
      <name val="Tahoma"/>
      <family val="2"/>
      <charset val="1"/>
    </font>
    <font>
      <b/>
      <sz val="14"/>
      <color indexed="9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sz val="11"/>
      <color indexed="8"/>
      <name val="Calibri"/>
      <family val="2"/>
    </font>
    <font>
      <b/>
      <sz val="16"/>
      <name val="Arial"/>
      <family val="2"/>
    </font>
    <font>
      <b/>
      <sz val="18"/>
      <name val="Arial"/>
      <family val="2"/>
    </font>
    <font>
      <sz val="16"/>
      <color indexed="8"/>
      <name val="Arial"/>
      <family val="2"/>
    </font>
    <font>
      <b/>
      <sz val="16"/>
      <color indexed="63"/>
      <name val="Arial"/>
      <family val="2"/>
    </font>
    <font>
      <sz val="16"/>
      <color indexed="63"/>
      <name val="Arial"/>
      <family val="2"/>
    </font>
    <font>
      <b/>
      <sz val="16"/>
      <color rgb="FFFF0000"/>
      <name val="Arial"/>
      <family val="2"/>
    </font>
    <font>
      <b/>
      <sz val="16"/>
      <color theme="0"/>
      <name val="Arial"/>
      <family val="2"/>
    </font>
    <font>
      <sz val="16"/>
      <color rgb="FFFF0000"/>
      <name val="Arial"/>
      <family val="2"/>
    </font>
    <font>
      <sz val="18"/>
      <color theme="1"/>
      <name val="Arial"/>
      <family val="2"/>
    </font>
    <font>
      <sz val="11"/>
      <color indexed="8"/>
      <name val="Calibri"/>
      <family val="2"/>
      <charset val="1"/>
    </font>
    <font>
      <b/>
      <u/>
      <sz val="16"/>
      <color indexed="8"/>
      <name val="Arial"/>
      <family val="2"/>
    </font>
    <font>
      <b/>
      <sz val="14"/>
      <color indexed="8"/>
      <name val="Arial"/>
      <family val="2"/>
      <charset val="1"/>
    </font>
    <font>
      <sz val="14"/>
      <color indexed="8"/>
      <name val="Arial"/>
      <family val="2"/>
    </font>
    <font>
      <b/>
      <sz val="14"/>
      <color indexed="63"/>
      <name val="Arial"/>
      <family val="2"/>
    </font>
    <font>
      <sz val="14"/>
      <color indexed="63"/>
      <name val="Arial"/>
      <family val="2"/>
    </font>
    <font>
      <b/>
      <sz val="14"/>
      <color indexed="10"/>
      <name val="Arial"/>
      <family val="2"/>
    </font>
    <font>
      <sz val="14"/>
      <color indexed="10"/>
      <name val="Arial"/>
      <family val="2"/>
    </font>
    <font>
      <sz val="12"/>
      <color indexed="8"/>
      <name val="Calibri"/>
      <family val="2"/>
      <charset val="1"/>
    </font>
    <font>
      <sz val="10"/>
      <name val="Arial"/>
      <family val="2"/>
      <charset val="1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sz val="16"/>
      <color indexed="10"/>
      <name val="Calibri"/>
      <family val="2"/>
      <charset val="1"/>
    </font>
    <font>
      <sz val="14"/>
      <color indexed="8"/>
      <name val="Arial"/>
      <family val="2"/>
      <charset val="1"/>
    </font>
    <font>
      <sz val="16"/>
      <color indexed="8"/>
      <name val="Arial"/>
      <family val="2"/>
      <charset val="1"/>
    </font>
    <font>
      <sz val="8"/>
      <name val="Calibri"/>
      <family val="2"/>
      <scheme val="minor"/>
    </font>
    <font>
      <b/>
      <sz val="16"/>
      <color rgb="FF002060"/>
      <name val="Arial"/>
      <family val="2"/>
    </font>
    <font>
      <b/>
      <sz val="11"/>
      <color theme="1"/>
      <name val="Arial"/>
      <family val="2"/>
    </font>
    <font>
      <b/>
      <u/>
      <sz val="11"/>
      <color indexed="8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2"/>
      <color indexed="8"/>
      <name val="Arial"/>
      <family val="2"/>
    </font>
    <font>
      <b/>
      <sz val="12"/>
      <color indexed="63"/>
      <name val="Arial"/>
      <family val="2"/>
    </font>
    <font>
      <sz val="12"/>
      <color indexed="63"/>
      <name val="Arial"/>
      <family val="2"/>
    </font>
    <font>
      <b/>
      <sz val="12"/>
      <color indexed="10"/>
      <name val="Arial"/>
      <family val="2"/>
    </font>
    <font>
      <sz val="12"/>
      <color indexed="10"/>
      <name val="Arial"/>
      <family val="2"/>
    </font>
    <font>
      <sz val="12"/>
      <color rgb="FFFF0000"/>
      <name val="Arial"/>
      <family val="2"/>
    </font>
    <font>
      <b/>
      <sz val="12"/>
      <color indexed="9"/>
      <name val="Arial"/>
      <family val="2"/>
    </font>
    <font>
      <b/>
      <sz val="8"/>
      <name val="Arial"/>
      <family val="2"/>
    </font>
    <font>
      <sz val="14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indexed="56"/>
        <bgColor indexed="62"/>
      </patternFill>
    </fill>
    <fill>
      <patternFill patternType="solid">
        <fgColor indexed="13"/>
        <bgColor indexed="34"/>
      </patternFill>
    </fill>
    <fill>
      <patternFill patternType="solid">
        <fgColor indexed="51"/>
        <bgColor indexed="52"/>
      </patternFill>
    </fill>
    <fill>
      <patternFill patternType="solid">
        <fgColor indexed="10"/>
        <bgColor indexed="16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22"/>
      </patternFill>
    </fill>
    <fill>
      <patternFill patternType="solid">
        <fgColor theme="0"/>
        <bgColor indexed="26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3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0" fontId="2" fillId="0" borderId="0"/>
    <xf numFmtId="0" fontId="1" fillId="0" borderId="0"/>
    <xf numFmtId="0" fontId="6" fillId="0" borderId="2" applyProtection="0">
      <alignment vertical="center"/>
    </xf>
    <xf numFmtId="164" fontId="10" fillId="0" borderId="0" applyFon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0" fontId="1" fillId="0" borderId="0"/>
    <xf numFmtId="0" fontId="1" fillId="0" borderId="0"/>
  </cellStyleXfs>
  <cellXfs count="147">
    <xf numFmtId="0" fontId="0" fillId="0" borderId="0" xfId="0"/>
    <xf numFmtId="0" fontId="4" fillId="0" borderId="0" xfId="0" applyFont="1"/>
    <xf numFmtId="0" fontId="5" fillId="3" borderId="1" xfId="1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center" vertical="center" wrapText="1"/>
    </xf>
    <xf numFmtId="165" fontId="12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9" fillId="0" borderId="0" xfId="1" applyFont="1"/>
    <xf numFmtId="167" fontId="9" fillId="0" borderId="1" xfId="1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10" borderId="0" xfId="3" applyFont="1" applyFill="1" applyBorder="1" applyAlignment="1" applyProtection="1"/>
    <xf numFmtId="0" fontId="22" fillId="0" borderId="0" xfId="3" applyFont="1" applyBorder="1" applyAlignment="1" applyProtection="1">
      <alignment horizontal="left" vertical="center" wrapText="1"/>
    </xf>
    <xf numFmtId="0" fontId="28" fillId="0" borderId="0" xfId="3" applyFont="1" applyBorder="1" applyAlignment="1" applyProtection="1"/>
    <xf numFmtId="0" fontId="20" fillId="0" borderId="0" xfId="3" applyFont="1" applyBorder="1" applyAlignment="1" applyProtection="1"/>
    <xf numFmtId="0" fontId="29" fillId="0" borderId="5" xfId="3" applyFont="1" applyBorder="1" applyAlignment="1" applyProtection="1"/>
    <xf numFmtId="166" fontId="23" fillId="13" borderId="1" xfId="1" applyNumberFormat="1" applyFont="1" applyFill="1" applyBorder="1" applyAlignment="1">
      <alignment horizontal="center" vertical="center"/>
    </xf>
    <xf numFmtId="166" fontId="23" fillId="5" borderId="1" xfId="3" applyNumberFormat="1" applyFont="1" applyFill="1" applyBorder="1" applyAlignment="1" applyProtection="1">
      <alignment horizontal="center" vertical="center"/>
    </xf>
    <xf numFmtId="168" fontId="24" fillId="5" borderId="1" xfId="3" applyNumberFormat="1" applyFont="1" applyFill="1" applyBorder="1" applyAlignment="1" applyProtection="1">
      <alignment horizontal="center" vertical="center"/>
    </xf>
    <xf numFmtId="168" fontId="25" fillId="5" borderId="1" xfId="3" applyNumberFormat="1" applyFont="1" applyFill="1" applyBorder="1" applyAlignment="1" applyProtection="1">
      <alignment horizontal="center" vertical="center"/>
    </xf>
    <xf numFmtId="168" fontId="26" fillId="10" borderId="1" xfId="3" applyNumberFormat="1" applyFont="1" applyFill="1" applyBorder="1" applyAlignment="1" applyProtection="1">
      <alignment horizontal="center" vertical="center"/>
    </xf>
    <xf numFmtId="168" fontId="27" fillId="10" borderId="1" xfId="3" applyNumberFormat="1" applyFont="1" applyFill="1" applyBorder="1" applyAlignment="1" applyProtection="1">
      <alignment horizontal="center" vertical="center"/>
    </xf>
    <xf numFmtId="168" fontId="23" fillId="0" borderId="1" xfId="3" applyNumberFormat="1" applyFont="1" applyBorder="1" applyAlignment="1" applyProtection="1">
      <alignment horizontal="center" vertical="center"/>
    </xf>
    <xf numFmtId="168" fontId="7" fillId="7" borderId="1" xfId="3" applyNumberFormat="1" applyFont="1" applyFill="1" applyBorder="1" applyAlignment="1" applyProtection="1">
      <alignment horizontal="center" vertical="center"/>
    </xf>
    <xf numFmtId="166" fontId="23" fillId="10" borderId="1" xfId="3" applyNumberFormat="1" applyFont="1" applyFill="1" applyBorder="1" applyAlignment="1" applyProtection="1">
      <alignment horizontal="center" vertical="center"/>
    </xf>
    <xf numFmtId="0" fontId="7" fillId="4" borderId="3" xfId="3" applyFont="1" applyFill="1" applyBorder="1" applyAlignment="1" applyProtection="1">
      <alignment horizontal="center" vertical="center" wrapText="1"/>
    </xf>
    <xf numFmtId="0" fontId="8" fillId="5" borderId="3" xfId="3" applyFont="1" applyFill="1" applyBorder="1" applyAlignment="1" applyProtection="1">
      <alignment horizontal="center" vertical="center" wrapText="1"/>
    </xf>
    <xf numFmtId="0" fontId="8" fillId="6" borderId="3" xfId="3" applyFont="1" applyFill="1" applyBorder="1" applyAlignment="1" applyProtection="1">
      <alignment horizontal="center" vertical="center" wrapText="1"/>
    </xf>
    <xf numFmtId="0" fontId="7" fillId="7" borderId="3" xfId="3" applyFont="1" applyFill="1" applyBorder="1" applyAlignment="1" applyProtection="1">
      <alignment horizontal="center" vertical="center" wrapText="1"/>
    </xf>
    <xf numFmtId="9" fontId="7" fillId="7" borderId="3" xfId="3" applyNumberFormat="1" applyFont="1" applyFill="1" applyBorder="1" applyAlignment="1" applyProtection="1">
      <alignment horizontal="center" vertical="center"/>
    </xf>
    <xf numFmtId="0" fontId="8" fillId="14" borderId="1" xfId="3" applyFont="1" applyFill="1" applyBorder="1" applyAlignment="1" applyProtection="1">
      <alignment horizontal="center" vertical="center"/>
    </xf>
    <xf numFmtId="165" fontId="23" fillId="0" borderId="1" xfId="1" applyNumberFormat="1" applyFont="1" applyBorder="1" applyAlignment="1">
      <alignment horizontal="center" vertical="center" wrapText="1"/>
    </xf>
    <xf numFmtId="165" fontId="23" fillId="11" borderId="1" xfId="1" applyNumberFormat="1" applyFont="1" applyFill="1" applyBorder="1" applyAlignment="1">
      <alignment horizontal="center" vertical="center"/>
    </xf>
    <xf numFmtId="0" fontId="23" fillId="14" borderId="1" xfId="3" applyFont="1" applyFill="1" applyBorder="1" applyAlignment="1" applyProtection="1">
      <alignment horizontal="center" vertical="center"/>
    </xf>
    <xf numFmtId="168" fontId="23" fillId="14" borderId="1" xfId="3" applyNumberFormat="1" applyFont="1" applyFill="1" applyBorder="1" applyAlignment="1" applyProtection="1">
      <alignment horizontal="center" vertical="center"/>
    </xf>
    <xf numFmtId="166" fontId="26" fillId="10" borderId="1" xfId="3" applyNumberFormat="1" applyFont="1" applyFill="1" applyBorder="1" applyAlignment="1" applyProtection="1">
      <alignment horizontal="center" vertical="center"/>
    </xf>
    <xf numFmtId="0" fontId="12" fillId="0" borderId="1" xfId="3" applyFont="1" applyBorder="1" applyAlignment="1" applyProtection="1">
      <alignment horizontal="center" vertical="center" wrapText="1"/>
    </xf>
    <xf numFmtId="0" fontId="13" fillId="13" borderId="1" xfId="1" applyFont="1" applyFill="1" applyBorder="1" applyAlignment="1">
      <alignment horizontal="center" vertical="center" wrapText="1"/>
    </xf>
    <xf numFmtId="0" fontId="21" fillId="0" borderId="1" xfId="3" applyFont="1" applyBorder="1" applyAlignment="1" applyProtection="1">
      <alignment horizontal="left" vertical="center" wrapText="1"/>
    </xf>
    <xf numFmtId="0" fontId="30" fillId="0" borderId="0" xfId="0" applyFont="1"/>
    <xf numFmtId="0" fontId="32" fillId="8" borderId="0" xfId="1" applyFont="1" applyFill="1"/>
    <xf numFmtId="165" fontId="12" fillId="0" borderId="6" xfId="1" applyNumberFormat="1" applyFont="1" applyBorder="1" applyAlignment="1">
      <alignment horizontal="center" vertical="center" wrapText="1"/>
    </xf>
    <xf numFmtId="169" fontId="11" fillId="8" borderId="0" xfId="4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36" fillId="0" borderId="0" xfId="3" applyFont="1" applyBorder="1" applyAlignment="1" applyProtection="1">
      <alignment horizontal="left" vertical="center" wrapText="1"/>
    </xf>
    <xf numFmtId="165" fontId="18" fillId="16" borderId="1" xfId="0" applyNumberFormat="1" applyFont="1" applyFill="1" applyBorder="1" applyAlignment="1">
      <alignment horizontal="center" vertical="center"/>
    </xf>
    <xf numFmtId="0" fontId="34" fillId="10" borderId="1" xfId="3" applyFont="1" applyFill="1" applyBorder="1" applyAlignment="1" applyProtection="1">
      <alignment horizontal="center"/>
    </xf>
    <xf numFmtId="168" fontId="12" fillId="15" borderId="1" xfId="3" applyNumberFormat="1" applyFont="1" applyFill="1" applyBorder="1" applyAlignment="1" applyProtection="1">
      <alignment horizontal="center" vertical="center" wrapText="1"/>
    </xf>
    <xf numFmtId="168" fontId="35" fillId="17" borderId="1" xfId="3" applyNumberFormat="1" applyFont="1" applyFill="1" applyBorder="1" applyAlignment="1" applyProtection="1">
      <alignment horizontal="center" vertical="center"/>
    </xf>
    <xf numFmtId="49" fontId="9" fillId="13" borderId="1" xfId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3" fillId="8" borderId="0" xfId="5" applyFont="1" applyFill="1" applyAlignment="1">
      <alignment horizontal="center"/>
    </xf>
    <xf numFmtId="0" fontId="31" fillId="8" borderId="0" xfId="5" applyFont="1" applyFill="1" applyAlignment="1">
      <alignment horizontal="center" vertical="center"/>
    </xf>
    <xf numFmtId="165" fontId="12" fillId="8" borderId="0" xfId="1" applyNumberFormat="1" applyFont="1" applyFill="1" applyAlignment="1">
      <alignment horizontal="center" vertical="center" wrapText="1"/>
    </xf>
    <xf numFmtId="0" fontId="18" fillId="0" borderId="0" xfId="1" applyFont="1" applyAlignment="1">
      <alignment horizontal="center" vertical="center" wrapText="1"/>
    </xf>
    <xf numFmtId="49" fontId="9" fillId="8" borderId="0" xfId="1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0" fontId="4" fillId="8" borderId="0" xfId="1" applyNumberFormat="1" applyFont="1" applyFill="1" applyAlignment="1">
      <alignment horizontal="center" vertical="center"/>
    </xf>
    <xf numFmtId="0" fontId="11" fillId="11" borderId="0" xfId="1" applyFont="1" applyFill="1" applyAlignment="1">
      <alignment horizontal="center" vertical="center"/>
    </xf>
    <xf numFmtId="166" fontId="4" fillId="12" borderId="0" xfId="1" applyNumberFormat="1" applyFont="1" applyFill="1" applyAlignment="1">
      <alignment horizontal="center" vertical="center"/>
    </xf>
    <xf numFmtId="165" fontId="14" fillId="12" borderId="0" xfId="1" applyNumberFormat="1" applyFont="1" applyFill="1" applyAlignment="1">
      <alignment horizontal="center" vertical="center"/>
    </xf>
    <xf numFmtId="165" fontId="15" fillId="12" borderId="0" xfId="1" applyNumberFormat="1" applyFont="1" applyFill="1" applyAlignment="1">
      <alignment horizontal="center" vertical="center"/>
    </xf>
    <xf numFmtId="165" fontId="4" fillId="12" borderId="0" xfId="1" applyNumberFormat="1" applyFont="1" applyFill="1" applyAlignment="1">
      <alignment horizontal="center" vertical="center"/>
    </xf>
    <xf numFmtId="165" fontId="4" fillId="8" borderId="0" xfId="1" applyNumberFormat="1" applyFont="1" applyFill="1" applyAlignment="1">
      <alignment horizontal="center" vertical="center"/>
    </xf>
    <xf numFmtId="165" fontId="16" fillId="8" borderId="0" xfId="1" applyNumberFormat="1" applyFont="1" applyFill="1" applyAlignment="1">
      <alignment horizontal="center" vertical="center"/>
    </xf>
    <xf numFmtId="165" fontId="9" fillId="8" borderId="0" xfId="1" applyNumberFormat="1" applyFont="1" applyFill="1" applyAlignment="1">
      <alignment horizontal="center" vertical="center" wrapText="1"/>
    </xf>
    <xf numFmtId="165" fontId="4" fillId="11" borderId="0" xfId="1" applyNumberFormat="1" applyFont="1" applyFill="1" applyAlignment="1">
      <alignment horizontal="center" vertical="center"/>
    </xf>
    <xf numFmtId="0" fontId="4" fillId="11" borderId="0" xfId="1" applyFont="1" applyFill="1" applyAlignment="1">
      <alignment horizontal="center" vertical="center"/>
    </xf>
    <xf numFmtId="165" fontId="18" fillId="8" borderId="0" xfId="1" applyNumberFormat="1" applyFont="1" applyFill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165" fontId="17" fillId="9" borderId="0" xfId="1" applyNumberFormat="1" applyFont="1" applyFill="1" applyAlignment="1">
      <alignment horizontal="center" vertical="center"/>
    </xf>
    <xf numFmtId="166" fontId="4" fillId="8" borderId="0" xfId="2" applyNumberFormat="1" applyFont="1" applyFill="1" applyAlignment="1">
      <alignment horizontal="center" vertical="center"/>
    </xf>
    <xf numFmtId="166" fontId="16" fillId="8" borderId="0" xfId="1" applyNumberFormat="1" applyFont="1" applyFill="1" applyAlignment="1">
      <alignment horizontal="center" vertical="center"/>
    </xf>
    <xf numFmtId="0" fontId="5" fillId="3" borderId="4" xfId="2" applyFont="1" applyFill="1" applyBorder="1" applyAlignment="1">
      <alignment horizontal="center" vertical="center" wrapText="1"/>
    </xf>
    <xf numFmtId="165" fontId="12" fillId="0" borderId="7" xfId="1" applyNumberFormat="1" applyFont="1" applyBorder="1" applyAlignment="1">
      <alignment horizontal="center" vertical="center" wrapText="1"/>
    </xf>
    <xf numFmtId="0" fontId="11" fillId="10" borderId="1" xfId="3" applyFont="1" applyFill="1" applyBorder="1" applyAlignment="1" applyProtection="1">
      <alignment horizontal="center" vertical="center"/>
    </xf>
    <xf numFmtId="168" fontId="23" fillId="10" borderId="1" xfId="3" applyNumberFormat="1" applyFont="1" applyFill="1" applyBorder="1" applyAlignment="1" applyProtection="1">
      <alignment horizontal="center" vertical="center"/>
    </xf>
    <xf numFmtId="49" fontId="9" fillId="13" borderId="3" xfId="1" applyNumberFormat="1" applyFont="1" applyFill="1" applyBorder="1" applyAlignment="1">
      <alignment horizontal="center" vertical="center" wrapText="1"/>
    </xf>
    <xf numFmtId="165" fontId="23" fillId="0" borderId="3" xfId="1" applyNumberFormat="1" applyFont="1" applyBorder="1" applyAlignment="1">
      <alignment horizontal="center" vertical="center" wrapText="1"/>
    </xf>
    <xf numFmtId="0" fontId="11" fillId="10" borderId="17" xfId="3" applyFont="1" applyFill="1" applyBorder="1" applyAlignment="1" applyProtection="1">
      <alignment horizontal="center" vertical="center"/>
    </xf>
    <xf numFmtId="0" fontId="34" fillId="10" borderId="18" xfId="3" applyFont="1" applyFill="1" applyBorder="1" applyAlignment="1" applyProtection="1">
      <alignment horizontal="center"/>
    </xf>
    <xf numFmtId="0" fontId="23" fillId="13" borderId="18" xfId="1" applyFont="1" applyFill="1" applyBorder="1" applyAlignment="1">
      <alignment horizontal="center" vertical="center" wrapText="1"/>
    </xf>
    <xf numFmtId="0" fontId="40" fillId="0" borderId="18" xfId="3" applyFont="1" applyBorder="1" applyAlignment="1" applyProtection="1">
      <alignment horizontal="left" vertical="center" wrapText="1"/>
    </xf>
    <xf numFmtId="166" fontId="44" fillId="13" borderId="1" xfId="1" applyNumberFormat="1" applyFont="1" applyFill="1" applyBorder="1" applyAlignment="1">
      <alignment horizontal="center" vertical="center"/>
    </xf>
    <xf numFmtId="0" fontId="41" fillId="14" borderId="1" xfId="3" applyFont="1" applyFill="1" applyBorder="1" applyAlignment="1" applyProtection="1">
      <alignment horizontal="center" vertical="center"/>
    </xf>
    <xf numFmtId="166" fontId="44" fillId="5" borderId="1" xfId="3" applyNumberFormat="1" applyFont="1" applyFill="1" applyBorder="1" applyAlignment="1" applyProtection="1">
      <alignment horizontal="center" vertical="center"/>
    </xf>
    <xf numFmtId="168" fontId="45" fillId="5" borderId="1" xfId="3" applyNumberFormat="1" applyFont="1" applyFill="1" applyBorder="1" applyAlignment="1" applyProtection="1">
      <alignment horizontal="center" vertical="center"/>
    </xf>
    <xf numFmtId="168" fontId="46" fillId="5" borderId="1" xfId="3" applyNumberFormat="1" applyFont="1" applyFill="1" applyBorder="1" applyAlignment="1" applyProtection="1">
      <alignment horizontal="center" vertical="center"/>
    </xf>
    <xf numFmtId="168" fontId="44" fillId="17" borderId="1" xfId="3" applyNumberFormat="1" applyFont="1" applyFill="1" applyBorder="1" applyAlignment="1" applyProtection="1">
      <alignment horizontal="center" vertical="center"/>
    </xf>
    <xf numFmtId="168" fontId="44" fillId="10" borderId="1" xfId="3" applyNumberFormat="1" applyFont="1" applyFill="1" applyBorder="1" applyAlignment="1" applyProtection="1">
      <alignment horizontal="center" vertical="center"/>
    </xf>
    <xf numFmtId="168" fontId="47" fillId="10" borderId="1" xfId="3" applyNumberFormat="1" applyFont="1" applyFill="1" applyBorder="1" applyAlignment="1" applyProtection="1">
      <alignment horizontal="center" vertical="center"/>
    </xf>
    <xf numFmtId="165" fontId="44" fillId="11" borderId="1" xfId="1" applyNumberFormat="1" applyFont="1" applyFill="1" applyBorder="1" applyAlignment="1">
      <alignment horizontal="center" vertical="center"/>
    </xf>
    <xf numFmtId="0" fontId="44" fillId="14" borderId="1" xfId="3" applyFont="1" applyFill="1" applyBorder="1" applyAlignment="1" applyProtection="1">
      <alignment horizontal="center" vertical="center"/>
    </xf>
    <xf numFmtId="168" fontId="48" fillId="10" borderId="1" xfId="3" applyNumberFormat="1" applyFont="1" applyFill="1" applyBorder="1" applyAlignment="1" applyProtection="1">
      <alignment horizontal="center" vertical="center"/>
    </xf>
    <xf numFmtId="168" fontId="44" fillId="14" borderId="1" xfId="3" applyNumberFormat="1" applyFont="1" applyFill="1" applyBorder="1" applyAlignment="1" applyProtection="1">
      <alignment horizontal="center" vertical="center"/>
    </xf>
    <xf numFmtId="165" fontId="49" fillId="16" borderId="1" xfId="0" applyNumberFormat="1" applyFont="1" applyFill="1" applyBorder="1" applyAlignment="1">
      <alignment horizontal="center" vertical="center"/>
    </xf>
    <xf numFmtId="168" fontId="44" fillId="0" borderId="1" xfId="3" applyNumberFormat="1" applyFont="1" applyBorder="1" applyAlignment="1" applyProtection="1">
      <alignment horizontal="center" vertical="center"/>
    </xf>
    <xf numFmtId="168" fontId="50" fillId="7" borderId="1" xfId="3" applyNumberFormat="1" applyFont="1" applyFill="1" applyBorder="1" applyAlignment="1" applyProtection="1">
      <alignment horizontal="center" vertical="center"/>
    </xf>
    <xf numFmtId="166" fontId="44" fillId="10" borderId="1" xfId="3" applyNumberFormat="1" applyFont="1" applyFill="1" applyBorder="1" applyAlignment="1" applyProtection="1">
      <alignment horizontal="center" vertical="center"/>
    </xf>
    <xf numFmtId="166" fontId="47" fillId="10" borderId="1" xfId="3" applyNumberFormat="1" applyFont="1" applyFill="1" applyBorder="1" applyAlignment="1" applyProtection="1">
      <alignment horizontal="center" vertical="center"/>
    </xf>
    <xf numFmtId="165" fontId="44" fillId="0" borderId="1" xfId="1" applyNumberFormat="1" applyFont="1" applyBorder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39" fillId="3" borderId="20" xfId="1" applyFont="1" applyFill="1" applyBorder="1" applyAlignment="1">
      <alignment horizontal="center" vertical="center" wrapText="1"/>
    </xf>
    <xf numFmtId="0" fontId="39" fillId="3" borderId="3" xfId="1" applyFont="1" applyFill="1" applyBorder="1" applyAlignment="1">
      <alignment horizontal="center" vertical="center" wrapText="1"/>
    </xf>
    <xf numFmtId="0" fontId="39" fillId="3" borderId="3" xfId="2" applyFont="1" applyFill="1" applyBorder="1" applyAlignment="1">
      <alignment horizontal="center" vertical="center" wrapText="1"/>
    </xf>
    <xf numFmtId="0" fontId="39" fillId="3" borderId="21" xfId="2" applyFont="1" applyFill="1" applyBorder="1" applyAlignment="1">
      <alignment horizontal="center" vertical="center" wrapText="1"/>
    </xf>
    <xf numFmtId="0" fontId="11" fillId="10" borderId="14" xfId="3" applyFont="1" applyFill="1" applyBorder="1" applyAlignment="1" applyProtection="1">
      <alignment horizontal="center" vertical="center"/>
    </xf>
    <xf numFmtId="0" fontId="34" fillId="10" borderId="15" xfId="3" applyFont="1" applyFill="1" applyBorder="1" applyAlignment="1" applyProtection="1">
      <alignment horizontal="center"/>
    </xf>
    <xf numFmtId="0" fontId="23" fillId="13" borderId="15" xfId="1" applyFont="1" applyFill="1" applyBorder="1" applyAlignment="1">
      <alignment horizontal="center" vertical="center" wrapText="1"/>
    </xf>
    <xf numFmtId="0" fontId="40" fillId="0" borderId="15" xfId="3" applyFont="1" applyBorder="1" applyAlignment="1" applyProtection="1">
      <alignment horizontal="left" vertical="center" wrapText="1"/>
    </xf>
    <xf numFmtId="0" fontId="11" fillId="0" borderId="15" xfId="3" applyFont="1" applyBorder="1" applyAlignment="1" applyProtection="1">
      <alignment horizontal="center" vertical="center" wrapText="1"/>
    </xf>
    <xf numFmtId="168" fontId="11" fillId="15" borderId="15" xfId="3" applyNumberFormat="1" applyFont="1" applyFill="1" applyBorder="1" applyAlignment="1" applyProtection="1">
      <alignment horizontal="center" vertical="center" wrapText="1"/>
    </xf>
    <xf numFmtId="0" fontId="11" fillId="0" borderId="18" xfId="3" applyFont="1" applyBorder="1" applyAlignment="1" applyProtection="1">
      <alignment horizontal="center" vertical="center" wrapText="1"/>
    </xf>
    <xf numFmtId="168" fontId="11" fillId="15" borderId="18" xfId="3" applyNumberFormat="1" applyFont="1" applyFill="1" applyBorder="1" applyAlignment="1" applyProtection="1">
      <alignment horizontal="center" vertical="center" wrapText="1"/>
    </xf>
    <xf numFmtId="165" fontId="11" fillId="0" borderId="16" xfId="1" applyNumberFormat="1" applyFont="1" applyBorder="1" applyAlignment="1">
      <alignment horizontal="center" vertical="center" wrapText="1"/>
    </xf>
    <xf numFmtId="165" fontId="11" fillId="0" borderId="19" xfId="1" applyNumberFormat="1" applyFont="1" applyBorder="1" applyAlignment="1">
      <alignment horizontal="center" vertical="center" wrapText="1"/>
    </xf>
    <xf numFmtId="171" fontId="11" fillId="10" borderId="1" xfId="3" applyNumberFormat="1" applyFont="1" applyFill="1" applyBorder="1" applyAlignment="1" applyProtection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171" fontId="11" fillId="10" borderId="8" xfId="3" applyNumberFormat="1" applyFont="1" applyFill="1" applyBorder="1" applyAlignment="1" applyProtection="1">
      <alignment horizontal="center" vertical="center" wrapText="1"/>
    </xf>
    <xf numFmtId="171" fontId="11" fillId="10" borderId="12" xfId="3" applyNumberFormat="1" applyFont="1" applyFill="1" applyBorder="1" applyAlignment="1" applyProtection="1">
      <alignment horizontal="center" vertical="center" wrapText="1"/>
    </xf>
    <xf numFmtId="171" fontId="11" fillId="10" borderId="9" xfId="3" applyNumberFormat="1" applyFont="1" applyFill="1" applyBorder="1" applyAlignment="1" applyProtection="1">
      <alignment horizontal="center" vertical="center" wrapText="1"/>
    </xf>
    <xf numFmtId="171" fontId="11" fillId="10" borderId="10" xfId="3" applyNumberFormat="1" applyFont="1" applyFill="1" applyBorder="1" applyAlignment="1" applyProtection="1">
      <alignment horizontal="center" vertical="center" wrapText="1"/>
    </xf>
    <xf numFmtId="171" fontId="11" fillId="10" borderId="13" xfId="3" applyNumberFormat="1" applyFont="1" applyFill="1" applyBorder="1" applyAlignment="1" applyProtection="1">
      <alignment horizontal="center" vertical="center" wrapText="1"/>
    </xf>
    <xf numFmtId="171" fontId="11" fillId="10" borderId="11" xfId="3" applyNumberFormat="1" applyFont="1" applyFill="1" applyBorder="1" applyAlignment="1" applyProtection="1">
      <alignment horizontal="center" vertical="center" wrapText="1"/>
    </xf>
    <xf numFmtId="49" fontId="9" fillId="13" borderId="3" xfId="1" applyNumberFormat="1" applyFont="1" applyFill="1" applyBorder="1" applyAlignment="1">
      <alignment horizontal="center" vertical="center" wrapText="1"/>
    </xf>
    <xf numFmtId="49" fontId="9" fillId="13" borderId="4" xfId="1" applyNumberFormat="1" applyFont="1" applyFill="1" applyBorder="1" applyAlignment="1">
      <alignment horizontal="center" vertical="center" wrapText="1"/>
    </xf>
    <xf numFmtId="165" fontId="23" fillId="0" borderId="3" xfId="1" applyNumberFormat="1" applyFont="1" applyBorder="1" applyAlignment="1">
      <alignment horizontal="center" vertical="center" wrapText="1"/>
    </xf>
    <xf numFmtId="165" fontId="23" fillId="0" borderId="4" xfId="1" applyNumberFormat="1" applyFont="1" applyBorder="1" applyAlignment="1">
      <alignment horizontal="center" vertical="center" wrapText="1"/>
    </xf>
    <xf numFmtId="0" fontId="21" fillId="0" borderId="3" xfId="3" applyFont="1" applyBorder="1" applyAlignment="1" applyProtection="1">
      <alignment horizontal="left" vertical="center" wrapText="1"/>
    </xf>
    <xf numFmtId="0" fontId="21" fillId="0" borderId="4" xfId="3" applyFont="1" applyBorder="1" applyAlignment="1" applyProtection="1">
      <alignment horizontal="left" vertical="center" wrapText="1"/>
    </xf>
    <xf numFmtId="0" fontId="13" fillId="13" borderId="3" xfId="1" applyFont="1" applyFill="1" applyBorder="1" applyAlignment="1">
      <alignment horizontal="center" vertical="center" wrapText="1"/>
    </xf>
    <xf numFmtId="0" fontId="13" fillId="13" borderId="4" xfId="1" applyFont="1" applyFill="1" applyBorder="1" applyAlignment="1">
      <alignment horizontal="center" vertical="center" wrapText="1"/>
    </xf>
    <xf numFmtId="0" fontId="34" fillId="10" borderId="3" xfId="3" applyFont="1" applyFill="1" applyBorder="1" applyAlignment="1" applyProtection="1">
      <alignment horizontal="center"/>
    </xf>
    <xf numFmtId="0" fontId="34" fillId="10" borderId="4" xfId="3" applyFont="1" applyFill="1" applyBorder="1" applyAlignment="1" applyProtection="1">
      <alignment horizontal="center"/>
    </xf>
    <xf numFmtId="0" fontId="11" fillId="10" borderId="3" xfId="3" applyFont="1" applyFill="1" applyBorder="1" applyAlignment="1" applyProtection="1">
      <alignment horizontal="center" vertical="center"/>
    </xf>
    <xf numFmtId="0" fontId="11" fillId="10" borderId="4" xfId="3" applyFont="1" applyFill="1" applyBorder="1" applyAlignment="1" applyProtection="1">
      <alignment horizontal="center" vertical="center"/>
    </xf>
    <xf numFmtId="171" fontId="11" fillId="10" borderId="18" xfId="3" applyNumberFormat="1" applyFont="1" applyFill="1" applyBorder="1" applyAlignment="1" applyProtection="1">
      <alignment horizontal="center" vertical="center" wrapText="1"/>
    </xf>
    <xf numFmtId="0" fontId="3" fillId="2" borderId="14" xfId="1" applyFont="1" applyFill="1" applyBorder="1" applyAlignment="1">
      <alignment horizontal="center" vertical="center" wrapText="1"/>
    </xf>
    <xf numFmtId="0" fontId="3" fillId="2" borderId="15" xfId="1" applyFont="1" applyFill="1" applyBorder="1" applyAlignment="1">
      <alignment horizontal="center" vertical="center" wrapText="1"/>
    </xf>
    <xf numFmtId="0" fontId="3" fillId="2" borderId="16" xfId="1" applyFont="1" applyFill="1" applyBorder="1" applyAlignment="1">
      <alignment horizontal="center" vertical="center" wrapText="1"/>
    </xf>
    <xf numFmtId="171" fontId="11" fillId="10" borderId="15" xfId="3" applyNumberFormat="1" applyFont="1" applyFill="1" applyBorder="1" applyAlignment="1" applyProtection="1">
      <alignment horizontal="center" vertical="center" wrapText="1"/>
    </xf>
    <xf numFmtId="171" fontId="32" fillId="10" borderId="8" xfId="3" applyNumberFormat="1" applyFont="1" applyFill="1" applyBorder="1" applyAlignment="1" applyProtection="1">
      <alignment horizontal="center" vertical="center" wrapText="1"/>
    </xf>
    <xf numFmtId="171" fontId="32" fillId="10" borderId="12" xfId="3" applyNumberFormat="1" applyFont="1" applyFill="1" applyBorder="1" applyAlignment="1" applyProtection="1">
      <alignment horizontal="center" vertical="center" wrapText="1"/>
    </xf>
    <xf numFmtId="171" fontId="32" fillId="10" borderId="9" xfId="3" applyNumberFormat="1" applyFont="1" applyFill="1" applyBorder="1" applyAlignment="1" applyProtection="1">
      <alignment horizontal="center" vertical="center" wrapText="1"/>
    </xf>
    <xf numFmtId="171" fontId="32" fillId="10" borderId="10" xfId="3" applyNumberFormat="1" applyFont="1" applyFill="1" applyBorder="1" applyAlignment="1" applyProtection="1">
      <alignment horizontal="center" vertical="center" wrapText="1"/>
    </xf>
    <xf numFmtId="171" fontId="32" fillId="10" borderId="13" xfId="3" applyNumberFormat="1" applyFont="1" applyFill="1" applyBorder="1" applyAlignment="1" applyProtection="1">
      <alignment horizontal="center" vertical="center" wrapText="1"/>
    </xf>
    <xf numFmtId="171" fontId="32" fillId="10" borderId="11" xfId="3" applyNumberFormat="1" applyFont="1" applyFill="1" applyBorder="1" applyAlignment="1" applyProtection="1">
      <alignment horizontal="center" vertical="center" wrapText="1"/>
    </xf>
    <xf numFmtId="49" fontId="42" fillId="13" borderId="3" xfId="1" applyNumberFormat="1" applyFont="1" applyFill="1" applyBorder="1" applyAlignment="1">
      <alignment horizontal="center" vertical="center" wrapText="1"/>
    </xf>
    <xf numFmtId="49" fontId="42" fillId="13" borderId="4" xfId="1" applyNumberFormat="1" applyFont="1" applyFill="1" applyBorder="1" applyAlignment="1">
      <alignment horizontal="center" vertical="center" wrapText="1"/>
    </xf>
  </cellXfs>
  <cellStyles count="14">
    <cellStyle name="Excel Built-in Explanatory Text" xfId="3" xr:uid="{48B6EE79-4372-42CA-9749-BC2EC8EEA528}"/>
    <cellStyle name="Millares 2 2 3 2 2 2 2 2 2 2 2 2" xfId="11" xr:uid="{535A2433-89FC-4191-A5FD-DBCEBD687453}"/>
    <cellStyle name="Millares 2 2 3 2 2 2 2 2 3" xfId="4" xr:uid="{AC1D613A-DED3-43A9-A1C6-3088BF401329}"/>
    <cellStyle name="Normal" xfId="0" builtinId="0"/>
    <cellStyle name="Normal 10 2" xfId="6" xr:uid="{BF274A02-30D6-4226-A819-12D6F6ED5B27}"/>
    <cellStyle name="Normal 2 2" xfId="1" xr:uid="{B3AA3BDC-7BE0-42CF-9B33-6630695816F2}"/>
    <cellStyle name="Normal 2 2 6 2" xfId="9" xr:uid="{A9D7A737-3E6C-49D7-AB5B-BE1FDAEC3F33}"/>
    <cellStyle name="Normal 2 3 2 2" xfId="5" xr:uid="{ED00C48B-D465-45FD-A1C9-B519D7DA1EAB}"/>
    <cellStyle name="Normal 2 3 2 2 4" xfId="13" xr:uid="{570792B4-7F22-4B48-B32C-2BC3D41EB70C}"/>
    <cellStyle name="Normal 3 2 2 2" xfId="8" xr:uid="{8D9ED024-3C24-4495-87A1-7C9A739E5F74}"/>
    <cellStyle name="Normal 3 3 2" xfId="10" xr:uid="{3A6D4D21-730D-468D-82A0-3799E850D9D5}"/>
    <cellStyle name="Normal 3 4 2" xfId="2" xr:uid="{2C117FA1-7D87-4985-A546-03BDA6357E90}"/>
    <cellStyle name="Normal 3 4 2 4" xfId="12" xr:uid="{158A8390-23EC-4C64-8108-3AF3725CB3BA}"/>
    <cellStyle name="Normal 4 2" xfId="7" xr:uid="{33141491-4477-4C9E-8CB4-A438900E1C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287546</xdr:colOff>
      <xdr:row>3</xdr:row>
      <xdr:rowOff>237346</xdr:rowOff>
    </xdr:from>
    <xdr:to>
      <xdr:col>4</xdr:col>
      <xdr:colOff>575095</xdr:colOff>
      <xdr:row>3</xdr:row>
      <xdr:rowOff>2177060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338633A3-EAF5-2B6E-8601-6BB20AC2ED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5639" r="13216" b="4907"/>
        <a:stretch/>
      </xdr:blipFill>
      <xdr:spPr>
        <a:xfrm>
          <a:off x="3216933" y="1513337"/>
          <a:ext cx="287549" cy="1939714"/>
        </a:xfrm>
        <a:prstGeom prst="rect">
          <a:avLst/>
        </a:prstGeom>
      </xdr:spPr>
    </xdr:pic>
    <xdr:clientData/>
  </xdr:twoCellAnchor>
  <xdr:twoCellAnchor editAs="oneCell">
    <xdr:from>
      <xdr:col>4</xdr:col>
      <xdr:colOff>495341</xdr:colOff>
      <xdr:row>3</xdr:row>
      <xdr:rowOff>710512</xdr:rowOff>
    </xdr:from>
    <xdr:to>
      <xdr:col>4</xdr:col>
      <xdr:colOff>4341636</xdr:colOff>
      <xdr:row>3</xdr:row>
      <xdr:rowOff>1619768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D9E86D9A-DFBC-4C0E-FE1A-2F2F78B54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3009667">
          <a:off x="4893248" y="517983"/>
          <a:ext cx="909256" cy="38462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1024388</xdr:colOff>
      <xdr:row>16</xdr:row>
      <xdr:rowOff>467265</xdr:rowOff>
    </xdr:from>
    <xdr:to>
      <xdr:col>4</xdr:col>
      <xdr:colOff>3720142</xdr:colOff>
      <xdr:row>17</xdr:row>
      <xdr:rowOff>929652</xdr:rowOff>
    </xdr:to>
    <xdr:pic>
      <xdr:nvPicPr>
        <xdr:cNvPr id="4" name="Imagen 3" descr="Caja Regular CRR-08 (45x30x32 cms) – Empakado">
          <a:extLst>
            <a:ext uri="{FF2B5EF4-FFF2-40B4-BE49-F238E27FC236}">
              <a16:creationId xmlns:a16="http://schemas.microsoft.com/office/drawing/2014/main" id="{58865511-90D4-41DC-BB40-303175A59F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40" t="11111" r="4491" b="11616"/>
        <a:stretch/>
      </xdr:blipFill>
      <xdr:spPr bwMode="auto">
        <a:xfrm>
          <a:off x="3953775" y="1725284"/>
          <a:ext cx="2695754" cy="1828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1186133</xdr:colOff>
      <xdr:row>10</xdr:row>
      <xdr:rowOff>521180</xdr:rowOff>
    </xdr:from>
    <xdr:ext cx="2695754" cy="1828236"/>
    <xdr:pic>
      <xdr:nvPicPr>
        <xdr:cNvPr id="2" name="Imagen 1" descr="Caja Regular CRR-08 (45x30x32 cms) – Empakado">
          <a:extLst>
            <a:ext uri="{FF2B5EF4-FFF2-40B4-BE49-F238E27FC236}">
              <a16:creationId xmlns:a16="http://schemas.microsoft.com/office/drawing/2014/main" id="{F93FCB1A-EBFA-42DD-B039-1DC1AA85221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40" t="11111" r="4491" b="11616"/>
        <a:stretch/>
      </xdr:blipFill>
      <xdr:spPr bwMode="auto">
        <a:xfrm>
          <a:off x="4115520" y="2066746"/>
          <a:ext cx="2695754" cy="1828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1186133</xdr:colOff>
      <xdr:row>11</xdr:row>
      <xdr:rowOff>521180</xdr:rowOff>
    </xdr:from>
    <xdr:ext cx="2695754" cy="1828236"/>
    <xdr:pic>
      <xdr:nvPicPr>
        <xdr:cNvPr id="3" name="Imagen 2" descr="Caja Regular CRR-08 (45x30x32 cms) – Empakado">
          <a:extLst>
            <a:ext uri="{FF2B5EF4-FFF2-40B4-BE49-F238E27FC236}">
              <a16:creationId xmlns:a16="http://schemas.microsoft.com/office/drawing/2014/main" id="{3557BA59-6413-4D1D-A4EC-F2E82AF807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40" t="11111" r="4491" b="11616"/>
        <a:stretch/>
      </xdr:blipFill>
      <xdr:spPr bwMode="auto">
        <a:xfrm>
          <a:off x="4115520" y="2066746"/>
          <a:ext cx="2695754" cy="1828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1186133</xdr:colOff>
      <xdr:row>3</xdr:row>
      <xdr:rowOff>251605</xdr:rowOff>
    </xdr:from>
    <xdr:ext cx="2695754" cy="1828236"/>
    <xdr:pic>
      <xdr:nvPicPr>
        <xdr:cNvPr id="5" name="Imagen 4" descr="Caja Regular CRR-08 (45x30x32 cms) – Empakado">
          <a:extLst>
            <a:ext uri="{FF2B5EF4-FFF2-40B4-BE49-F238E27FC236}">
              <a16:creationId xmlns:a16="http://schemas.microsoft.com/office/drawing/2014/main" id="{8FFE2007-A66C-4D41-9BF9-98E9AE30F0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40" t="11111" r="4491" b="11616"/>
        <a:stretch/>
      </xdr:blipFill>
      <xdr:spPr bwMode="auto">
        <a:xfrm>
          <a:off x="4115520" y="1509624"/>
          <a:ext cx="2695754" cy="1828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1186133</xdr:colOff>
      <xdr:row>4</xdr:row>
      <xdr:rowOff>521180</xdr:rowOff>
    </xdr:from>
    <xdr:ext cx="2695754" cy="1828236"/>
    <xdr:pic>
      <xdr:nvPicPr>
        <xdr:cNvPr id="6" name="Imagen 5" descr="Caja Regular CRR-08 (45x30x32 cms) – Empakado">
          <a:extLst>
            <a:ext uri="{FF2B5EF4-FFF2-40B4-BE49-F238E27FC236}">
              <a16:creationId xmlns:a16="http://schemas.microsoft.com/office/drawing/2014/main" id="{E4469B46-B3BF-4D07-ABC8-307644683F9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40" t="11111" r="4491" b="11616"/>
        <a:stretch/>
      </xdr:blipFill>
      <xdr:spPr bwMode="auto">
        <a:xfrm>
          <a:off x="4115520" y="6523727"/>
          <a:ext cx="2695754" cy="1828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621987</xdr:colOff>
      <xdr:row>3</xdr:row>
      <xdr:rowOff>69890</xdr:rowOff>
    </xdr:from>
    <xdr:to>
      <xdr:col>4</xdr:col>
      <xdr:colOff>2571749</xdr:colOff>
      <xdr:row>3</xdr:row>
      <xdr:rowOff>2295342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102AA1B-9426-81DB-0BE4-229AB8ABD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2300" y="1117640"/>
          <a:ext cx="1949762" cy="2225452"/>
        </a:xfrm>
        <a:prstGeom prst="rect">
          <a:avLst/>
        </a:prstGeom>
      </xdr:spPr>
    </xdr:pic>
    <xdr:clientData/>
  </xdr:twoCellAnchor>
  <xdr:oneCellAnchor>
    <xdr:from>
      <xdr:col>4</xdr:col>
      <xdr:colOff>631511</xdr:colOff>
      <xdr:row>4</xdr:row>
      <xdr:rowOff>51503</xdr:rowOff>
    </xdr:from>
    <xdr:ext cx="1975957" cy="2255352"/>
    <xdr:pic>
      <xdr:nvPicPr>
        <xdr:cNvPr id="7" name="Imagen 6">
          <a:extLst>
            <a:ext uri="{FF2B5EF4-FFF2-40B4-BE49-F238E27FC236}">
              <a16:creationId xmlns:a16="http://schemas.microsoft.com/office/drawing/2014/main" id="{512D65AB-9E6D-43EE-B379-2F97EEC0A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1824" y="3635284"/>
          <a:ext cx="1975957" cy="225535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Documentos%20PC2\7.%20COTIZACIONES%20OTROS\AVON%20PERU_INCENTIVOS\2.NUEVOS%20PRODUCTOS\IIIQ2009\PRECOTIZAC.%20FINAL_INCENT.3Q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4\Marketing\_Documentos%20PC2\7.%20COTIZACIONES%20OTROS\AVON%20PERU_INCENTIVOS\2.NUEVOS%20PRODUCTOS\IIIQ2009\PRECOTIZAC.%20FINAL_INCENT.3Q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2">
          <cell r="A2" t="str">
            <v>ACCESORIO LAGRIMA TURQUEZA</v>
          </cell>
        </row>
        <row r="3">
          <cell r="A3" t="str">
            <v>ANILLO REGULABLE DE BRONCE MA1</v>
          </cell>
        </row>
        <row r="4">
          <cell r="A4" t="str">
            <v>ANILLO REGULABLE DE BRONCE MA2</v>
          </cell>
        </row>
        <row r="5">
          <cell r="A5" t="str">
            <v>ANILLO REGULABLE DE BRONCE MA3</v>
          </cell>
        </row>
        <row r="6">
          <cell r="A6" t="str">
            <v>ANILLO REGULABLE DE BRONCE MA4</v>
          </cell>
        </row>
        <row r="7">
          <cell r="A7" t="str">
            <v>ANILLO REGULABLE DE BRONCE MA5</v>
          </cell>
        </row>
        <row r="8">
          <cell r="A8" t="str">
            <v>ANILLO REGULABLE DE BRONCE MA6</v>
          </cell>
        </row>
        <row r="9">
          <cell r="A9" t="str">
            <v>ANILLO REGULABLE DE BRONCE MA7</v>
          </cell>
        </row>
        <row r="10">
          <cell r="A10" t="str">
            <v>ARGOLLA LINK 0.7MM ESP X 3.0 MM INT</v>
          </cell>
        </row>
        <row r="11">
          <cell r="A11" t="str">
            <v>ARGOLLA LINK 0.7MM ESP. X 3.5 MM INT</v>
          </cell>
        </row>
        <row r="12">
          <cell r="A12" t="str">
            <v>ARGOLLA LINK 0.9MM ESP X 4.5MM INT</v>
          </cell>
        </row>
        <row r="13">
          <cell r="A13" t="str">
            <v>ARGOLLA LINK 0.9MM ESP X 6MM INT</v>
          </cell>
        </row>
        <row r="14">
          <cell r="A14" t="str">
            <v>BOLSA AVON CHICA 74X76MM</v>
          </cell>
        </row>
        <row r="15">
          <cell r="A15" t="str">
            <v>BOLSA AVON GRANDE 165X172 MM</v>
          </cell>
        </row>
        <row r="16">
          <cell r="A16" t="str">
            <v>BOLSA AVON MEDIANO 102X100MM</v>
          </cell>
        </row>
        <row r="17">
          <cell r="A17" t="str">
            <v>BOLSA DE PANA ROSADA 5.5X5.5CM</v>
          </cell>
        </row>
        <row r="18">
          <cell r="A18" t="str">
            <v>BOLSA DE PROLIPROPILENO 40X20CM</v>
          </cell>
        </row>
        <row r="19">
          <cell r="A19" t="str">
            <v>BROCHE DISCO NIQUELADO</v>
          </cell>
        </row>
        <row r="20">
          <cell r="A20" t="str">
            <v>BROCHE DISCO PLATEADO</v>
          </cell>
        </row>
        <row r="21">
          <cell r="A21" t="str">
            <v>BROCHE SIN DISCO NIQUELADO</v>
          </cell>
        </row>
        <row r="22">
          <cell r="A22" t="str">
            <v>BROCHE SIN DISCO PLATEADO</v>
          </cell>
        </row>
        <row r="23">
          <cell r="A23" t="str">
            <v>CADENA CORDON 0.35</v>
          </cell>
        </row>
        <row r="24">
          <cell r="A24" t="str">
            <v>CADENA ESLABONADA ANCORA 0.4MM</v>
          </cell>
        </row>
        <row r="25">
          <cell r="A25" t="str">
            <v>CADENA ESLABONADA ANCORA 0.6MM</v>
          </cell>
        </row>
        <row r="26">
          <cell r="A26" t="str">
            <v>CADENA ESLABONADA ANCORA 0.6MM GDE</v>
          </cell>
        </row>
        <row r="27">
          <cell r="A27" t="str">
            <v>CADENA ESLABONADA ANCORA 0.9MM</v>
          </cell>
        </row>
        <row r="28">
          <cell r="A28" t="str">
            <v>CADENA ESLABONADA ANCORA DE 1.4MM</v>
          </cell>
        </row>
        <row r="29">
          <cell r="A29" t="str">
            <v>CADENA ESLABONADA BISMARC 0.6MM</v>
          </cell>
        </row>
        <row r="30">
          <cell r="A30" t="str">
            <v>CADENA PANZER 1.2MM</v>
          </cell>
        </row>
        <row r="31">
          <cell r="A31" t="str">
            <v>CADENA PANZER 1.5MM EXT</v>
          </cell>
        </row>
        <row r="32">
          <cell r="A32" t="str">
            <v>CADENA REGULABLE</v>
          </cell>
        </row>
        <row r="33">
          <cell r="A33" t="str">
            <v>CADENA SNAKE 1.2MM LOC - EXT</v>
          </cell>
        </row>
        <row r="34">
          <cell r="A34" t="str">
            <v>CADENA SNAKE 1.5MM EXT</v>
          </cell>
        </row>
        <row r="35">
          <cell r="A35" t="str">
            <v>CADENA SNAKE 1.9MM EXT</v>
          </cell>
        </row>
        <row r="36">
          <cell r="A36" t="str">
            <v>CAJA AVON CHICA AZULINO</v>
          </cell>
        </row>
        <row r="37">
          <cell r="A37" t="str">
            <v>CAJA AVON CHICO VERDE</v>
          </cell>
        </row>
        <row r="38">
          <cell r="A38" t="str">
            <v>CAJA AVON GRANDE AZULINO</v>
          </cell>
        </row>
        <row r="39">
          <cell r="A39" t="str">
            <v>CAJA AVON GRANDE GUINDA</v>
          </cell>
        </row>
        <row r="40">
          <cell r="A40" t="str">
            <v>CAJA AVON MASTER</v>
          </cell>
        </row>
        <row r="41">
          <cell r="A41" t="str">
            <v>CAJA AVON MEDIANA AZULINO</v>
          </cell>
        </row>
        <row r="42">
          <cell r="A42" t="str">
            <v>CAJA AVON MEDIANO VERDE</v>
          </cell>
        </row>
        <row r="43">
          <cell r="A43" t="str">
            <v>CIERRE LOBSTER 11MM</v>
          </cell>
        </row>
        <row r="44">
          <cell r="A44" t="str">
            <v>CIERRE LOBSTER 14MM</v>
          </cell>
        </row>
        <row r="45">
          <cell r="A45" t="str">
            <v>CINTA GAMUZA LILA</v>
          </cell>
        </row>
        <row r="46">
          <cell r="A46" t="str">
            <v>CUENTA FACETADA 4MM CRISTAL</v>
          </cell>
        </row>
        <row r="47">
          <cell r="A47" t="str">
            <v>CUENTA FACETADA 4MM ROJA</v>
          </cell>
        </row>
        <row r="48">
          <cell r="A48" t="str">
            <v>CUENTA FACETADA 4MM ROSADA</v>
          </cell>
        </row>
        <row r="49">
          <cell r="A49" t="str">
            <v>CUENTA FACETADA 8MM LILA</v>
          </cell>
        </row>
        <row r="50">
          <cell r="A50" t="str">
            <v>CUENTA FACETADA 8MM LILA CLARO</v>
          </cell>
        </row>
        <row r="51">
          <cell r="A51" t="str">
            <v>CUENTA FACETADA 8MM ROSADO</v>
          </cell>
        </row>
        <row r="52">
          <cell r="A52" t="str">
            <v>CUENTA FACETADA ROMBO 6MM CELESTE</v>
          </cell>
        </row>
        <row r="53">
          <cell r="A53" t="str">
            <v>CUENTA FACETADA ROMBO 6MM ROSADO</v>
          </cell>
        </row>
        <row r="54">
          <cell r="A54" t="str">
            <v>CUENTA REDONDA 4MM AZUL</v>
          </cell>
        </row>
        <row r="55">
          <cell r="A55" t="str">
            <v>CUENTA REDONDA 4MM CELESTE</v>
          </cell>
        </row>
        <row r="56">
          <cell r="A56" t="str">
            <v>CUENTA REDONDA 4MM CRISTAL</v>
          </cell>
        </row>
        <row r="57">
          <cell r="A57" t="str">
            <v>CUENTA REDONDA 4MM MARRON</v>
          </cell>
        </row>
        <row r="58">
          <cell r="A58" t="str">
            <v>CUENTA REDONDA 4MM TURQUEZA CLARO</v>
          </cell>
        </row>
        <row r="59">
          <cell r="A59" t="str">
            <v>CUENTA REDONDA 4MM VERDE</v>
          </cell>
        </row>
        <row r="60">
          <cell r="A60" t="str">
            <v>CUENTA REDONDA 4MM VERDE CLARO</v>
          </cell>
        </row>
        <row r="61">
          <cell r="A61" t="str">
            <v>CUENTA REDONDA 8MM AZUL</v>
          </cell>
        </row>
        <row r="62">
          <cell r="A62" t="str">
            <v>CUENTA REDONDA 8MM CELESTE</v>
          </cell>
        </row>
        <row r="63">
          <cell r="A63" t="str">
            <v>CUENTA REDONDA 8MM MARRON</v>
          </cell>
        </row>
        <row r="64">
          <cell r="A64" t="str">
            <v>CUENTA REDONDA 8MM VERDE</v>
          </cell>
        </row>
        <row r="65">
          <cell r="A65" t="str">
            <v>HILO ELASTICO 0.6MM</v>
          </cell>
        </row>
        <row r="66">
          <cell r="A66" t="str">
            <v>HUAYRURO CHICO</v>
          </cell>
        </row>
        <row r="67">
          <cell r="A67" t="str">
            <v>JEBE RUBBER PARA PASADOR</v>
          </cell>
        </row>
        <row r="68">
          <cell r="A68" t="str">
            <v>METAL 96 FREE PLOMO</v>
          </cell>
        </row>
        <row r="69">
          <cell r="A69" t="str">
            <v>METAL BLANCO 36% ESTAÑO</v>
          </cell>
        </row>
        <row r="70">
          <cell r="A70" t="str">
            <v>METAL BLANCO 92% ESTAÑO</v>
          </cell>
        </row>
        <row r="71">
          <cell r="A71" t="str">
            <v>MONEDA DE BRONCE 1H 15MM DIA</v>
          </cell>
        </row>
        <row r="72">
          <cell r="A72" t="str">
            <v>MONEDA DE BRONCE 2H 15MM DIAM</v>
          </cell>
        </row>
        <row r="73">
          <cell r="A73" t="str">
            <v>MOSTACILLA DE BRONCE 3MM APLASTAR</v>
          </cell>
        </row>
        <row r="74">
          <cell r="A74" t="str">
            <v>MOSTACILLA DE BRONCE 8MM DIA</v>
          </cell>
        </row>
        <row r="75">
          <cell r="A75" t="str">
            <v>PASADOR ASA SIMPLE</v>
          </cell>
        </row>
        <row r="76">
          <cell r="A76" t="str">
            <v>PASADOR ASA YANBAL</v>
          </cell>
        </row>
        <row r="77">
          <cell r="A77" t="str">
            <v>PASADOR ESPAÑOL</v>
          </cell>
        </row>
        <row r="78">
          <cell r="A78" t="str">
            <v>PERLA 2H 6MM ARENADA ROSADA</v>
          </cell>
        </row>
        <row r="79">
          <cell r="A79" t="str">
            <v>PERLA 2H 6MM ARENADA VERDE CLARO</v>
          </cell>
        </row>
        <row r="80">
          <cell r="A80" t="str">
            <v>PERLA 2H 8MM PLATEADA</v>
          </cell>
        </row>
        <row r="81">
          <cell r="A81" t="str">
            <v>PERLA 2HB 4MM LILA</v>
          </cell>
        </row>
        <row r="82">
          <cell r="A82" t="str">
            <v>PERLA 2HB 6MM TURQUEZA</v>
          </cell>
        </row>
        <row r="83">
          <cell r="A83" t="str">
            <v>PERLA 2HB 8MM LILA</v>
          </cell>
        </row>
        <row r="84">
          <cell r="A84" t="str">
            <v>PERLA 2HB GRIS 4MM</v>
          </cell>
        </row>
        <row r="85">
          <cell r="A85" t="str">
            <v>PERLA 2HB GRIS 6MM</v>
          </cell>
        </row>
        <row r="86">
          <cell r="A86" t="str">
            <v>PIEDRA  PP12/SS5.5 CRISTAL CH</v>
          </cell>
        </row>
        <row r="87">
          <cell r="A87" t="str">
            <v>PIEDRA PP10/SS4.5 CRISTAL STD</v>
          </cell>
        </row>
        <row r="88">
          <cell r="A88" t="str">
            <v>PIEDRA PP12/SS5.5 CRISTAL STD</v>
          </cell>
        </row>
        <row r="89">
          <cell r="A89" t="str">
            <v>PIEDRA PP12/SS5.5 LIGHT SIAM CH</v>
          </cell>
        </row>
        <row r="90">
          <cell r="A90" t="str">
            <v>PIEDRA PP12/SS5.5 LIGHT TOPAZ CH</v>
          </cell>
        </row>
        <row r="91">
          <cell r="A91" t="str">
            <v>PIEDRA PP12/SS5.5 PERIDOT CH</v>
          </cell>
        </row>
        <row r="92">
          <cell r="A92" t="str">
            <v>PIEDRA PP12/SS5.5 ROSE CH</v>
          </cell>
        </row>
        <row r="93">
          <cell r="A93" t="str">
            <v>PIEDRA PP12/SS5.5 SHAPIRE CH</v>
          </cell>
        </row>
        <row r="94">
          <cell r="A94" t="str">
            <v>PIEDRA PP15/SS7 CRISTAL STD</v>
          </cell>
        </row>
        <row r="95">
          <cell r="A95" t="str">
            <v>PIEDRA PP16/SS7.5 CRISTAL STD</v>
          </cell>
        </row>
        <row r="96">
          <cell r="A96" t="str">
            <v>PIEDRA PP16/SS7.5 LIGTH SAPHIRE CH</v>
          </cell>
        </row>
        <row r="97">
          <cell r="A97" t="str">
            <v>PIEDRA PP16/SS7.5 LT AMATISTA CH</v>
          </cell>
        </row>
        <row r="98">
          <cell r="A98" t="str">
            <v>PIEDRA PP16/SS7.5 LT TOPAZ CH</v>
          </cell>
        </row>
        <row r="99">
          <cell r="A99" t="str">
            <v>PIEDRA PP16/SS7.5 PERIDOT CH</v>
          </cell>
        </row>
        <row r="100">
          <cell r="A100" t="str">
            <v>PIEDRA PP16/SS7.5 ROSE CH</v>
          </cell>
        </row>
        <row r="101">
          <cell r="A101" t="str">
            <v>PIEDRA PP16/SS7.5 SAPHIRE CH</v>
          </cell>
        </row>
        <row r="102">
          <cell r="A102" t="str">
            <v>PIEDRA PP16/SS7.5 TOPAZ CH</v>
          </cell>
        </row>
        <row r="103">
          <cell r="A103" t="str">
            <v>PIEDRA PP18/SS8.5 CRISTAL STD</v>
          </cell>
        </row>
        <row r="104">
          <cell r="A104" t="str">
            <v>PIEDRA PP20/SS9.5 CRISTAL CH</v>
          </cell>
        </row>
        <row r="105">
          <cell r="A105" t="str">
            <v>PIEDRA PP20/SS9.5 CRISTAL STD</v>
          </cell>
        </row>
        <row r="106">
          <cell r="A106" t="str">
            <v>PIEDRA PP24/SS12 CRISTAL STD</v>
          </cell>
        </row>
        <row r="107">
          <cell r="A107" t="str">
            <v>PIEDRA PP29/SS15 AMATISTA CH</v>
          </cell>
        </row>
        <row r="108">
          <cell r="A108" t="str">
            <v>PIEDRA PP29/SS15 AQUAMARINE CH</v>
          </cell>
        </row>
        <row r="109">
          <cell r="A109" t="str">
            <v>PIEDRA PP29/SS15 CRISTAL STD</v>
          </cell>
        </row>
        <row r="110">
          <cell r="A110" t="str">
            <v>PIEDRA PP8/SS3.5 CRISTAL STD</v>
          </cell>
        </row>
        <row r="111">
          <cell r="A111" t="str">
            <v>PIEDRA SS20 CRISTAL STD</v>
          </cell>
        </row>
        <row r="112">
          <cell r="A112" t="str">
            <v>PIEDRA SS30 CRISTAL STD</v>
          </cell>
        </row>
        <row r="113">
          <cell r="A113" t="str">
            <v>PITA DE CUERO 1.5MM X 40CM FUCSIA</v>
          </cell>
        </row>
        <row r="114">
          <cell r="A114" t="str">
            <v>PITA DE CUERO 1.5MM X 45CM TURQUEZA</v>
          </cell>
        </row>
        <row r="115">
          <cell r="A115" t="str">
            <v>PITA ENCERADA LILA</v>
          </cell>
        </row>
        <row r="116">
          <cell r="A116" t="str">
            <v>POSTE ACERADO 12MM GRANDE</v>
          </cell>
        </row>
        <row r="117">
          <cell r="A117" t="str">
            <v>POSTE ACERADO CHICO</v>
          </cell>
        </row>
        <row r="118">
          <cell r="A118" t="str">
            <v>POSTE EP 0.7MMX20MM</v>
          </cell>
        </row>
        <row r="119">
          <cell r="A119" t="str">
            <v>POSTE HP 0.7MMX13MM</v>
          </cell>
        </row>
        <row r="120">
          <cell r="A120" t="str">
            <v>POSTE HP 0.7MMX14MM</v>
          </cell>
        </row>
        <row r="121">
          <cell r="A121" t="str">
            <v>POSTE HP 0.7MMX16MM</v>
          </cell>
        </row>
        <row r="122">
          <cell r="A122" t="str">
            <v>POSTE HP 0.7MMX20MM</v>
          </cell>
        </row>
        <row r="123">
          <cell r="A123" t="str">
            <v>POSTE HP 0.7MMX20MM CABEZA GRANDE</v>
          </cell>
        </row>
        <row r="124">
          <cell r="A124" t="str">
            <v>POSTE TITANIO</v>
          </cell>
        </row>
        <row r="125">
          <cell r="A125" t="str">
            <v>STICKER BARBIE CHICO</v>
          </cell>
        </row>
        <row r="126">
          <cell r="A126" t="str">
            <v>STICKER BARBIE GRANDE</v>
          </cell>
        </row>
        <row r="127">
          <cell r="A127" t="str">
            <v>TERMINAL END CAP 1.2MM EXT</v>
          </cell>
        </row>
        <row r="128">
          <cell r="A128" t="str">
            <v>TERMINAL END CAP 1.5MM EXT</v>
          </cell>
        </row>
        <row r="129">
          <cell r="A129" t="str">
            <v>TERMINAL END CAP 1.9MM</v>
          </cell>
        </row>
        <row r="130">
          <cell r="A130" t="str">
            <v>TROQUEL BASE AVON CHICO CELESTE</v>
          </cell>
        </row>
        <row r="131">
          <cell r="A131" t="str">
            <v>TROQUEL BASE AVON CHICO CREMA</v>
          </cell>
        </row>
        <row r="132">
          <cell r="A132" t="str">
            <v>TROQUEL BASE AVON GRANDE CELESTE</v>
          </cell>
        </row>
        <row r="133">
          <cell r="A133" t="str">
            <v>TROQUEL BASE AVON GRANDE GUINDA</v>
          </cell>
        </row>
        <row r="134">
          <cell r="A134" t="str">
            <v>TROQUEL BASE AVON MEDIANO CELESTE</v>
          </cell>
        </row>
        <row r="135">
          <cell r="A135" t="str">
            <v>TROQUEL BASE AVON MEDIANO CREMA</v>
          </cell>
        </row>
        <row r="136">
          <cell r="A136" t="str">
            <v>TROQUEL TAPA AVON CHICO CREMA</v>
          </cell>
        </row>
        <row r="137">
          <cell r="A137" t="str">
            <v>TROQUEL TAPA AVON CHICO GRIS</v>
          </cell>
        </row>
        <row r="138">
          <cell r="A138" t="str">
            <v>TROQUEL TAPA AVON GRANDE CREMA</v>
          </cell>
        </row>
        <row r="139">
          <cell r="A139" t="str">
            <v>TROQUEL TAPA AVON GRANDE GRIS</v>
          </cell>
        </row>
        <row r="140">
          <cell r="A140" t="str">
            <v>TROQUEL TAPA AVON MEDIANO CREMA</v>
          </cell>
        </row>
        <row r="141">
          <cell r="A141" t="str">
            <v>TROQUEL TAPA AVON MEDIANO GRIS</v>
          </cell>
        </row>
        <row r="142">
          <cell r="A142" t="str">
            <v>NINGUNO</v>
          </cell>
        </row>
      </sheetData>
      <sheetData sheetId="14" refreshError="1">
        <row r="8">
          <cell r="G8" t="str">
            <v>COLLAR</v>
          </cell>
          <cell r="H8" t="str">
            <v>ARETES</v>
          </cell>
          <cell r="I8" t="str">
            <v>ANILLO</v>
          </cell>
          <cell r="J8" t="str">
            <v>PULSERA</v>
          </cell>
        </row>
        <row r="10">
          <cell r="A10" t="str">
            <v>C1-2009</v>
          </cell>
          <cell r="C10" t="str">
            <v>JOYERIA</v>
          </cell>
        </row>
        <row r="11">
          <cell r="A11" t="str">
            <v>C2-2009</v>
          </cell>
          <cell r="C11" t="str">
            <v>INCENTIVOS</v>
          </cell>
        </row>
        <row r="12">
          <cell r="A12" t="str">
            <v>C3-2009</v>
          </cell>
          <cell r="C12" t="str">
            <v>APOYO COSMETICA</v>
          </cell>
        </row>
        <row r="13">
          <cell r="A13" t="str">
            <v>C4-2009</v>
          </cell>
          <cell r="C13" t="str">
            <v>HOGAR</v>
          </cell>
        </row>
        <row r="14">
          <cell r="A14" t="str">
            <v>C5-2009</v>
          </cell>
          <cell r="C14" t="str">
            <v>OTROS</v>
          </cell>
        </row>
        <row r="15">
          <cell r="A15" t="str">
            <v>C6-2009</v>
          </cell>
        </row>
        <row r="16">
          <cell r="A16" t="str">
            <v>C7-2009</v>
          </cell>
        </row>
        <row r="17">
          <cell r="A17" t="str">
            <v>C8-2009</v>
          </cell>
        </row>
        <row r="18">
          <cell r="A18" t="str">
            <v>C9-2009</v>
          </cell>
        </row>
        <row r="19">
          <cell r="A19" t="str">
            <v>C10-2009</v>
          </cell>
        </row>
        <row r="20">
          <cell r="A20" t="str">
            <v>C11-2009</v>
          </cell>
          <cell r="F20" t="str">
            <v>EPOXICO  COLLAR</v>
          </cell>
          <cell r="I20" t="str">
            <v>ANALISIS METAL</v>
          </cell>
        </row>
        <row r="21">
          <cell r="A21" t="str">
            <v>C12-2009</v>
          </cell>
          <cell r="F21" t="str">
            <v>EPOXICO ARETES</v>
          </cell>
          <cell r="I21" t="str">
            <v>ANALISIS METAL + 1 COLOR</v>
          </cell>
        </row>
        <row r="22">
          <cell r="A22" t="str">
            <v>C13-2009</v>
          </cell>
          <cell r="F22" t="str">
            <v>EPOXICO ANILLO</v>
          </cell>
          <cell r="I22" t="str">
            <v>ANALISIS METAL + 2 COLOR</v>
          </cell>
        </row>
        <row r="23">
          <cell r="A23" t="str">
            <v>C14-2009</v>
          </cell>
          <cell r="F23" t="str">
            <v>EPOXICO PULSERA</v>
          </cell>
          <cell r="I23" t="str">
            <v>ANALISIS METAL + 3 COLOR</v>
          </cell>
        </row>
        <row r="24">
          <cell r="A24" t="str">
            <v>C15-2009</v>
          </cell>
          <cell r="F24" t="str">
            <v>EPOXICO OTRO</v>
          </cell>
          <cell r="I24" t="str">
            <v>ANALISIS METAL + 4 COLOR</v>
          </cell>
        </row>
        <row r="25">
          <cell r="A25" t="str">
            <v>C16-2009</v>
          </cell>
          <cell r="F25" t="str">
            <v>EPOXICO</v>
          </cell>
          <cell r="I25" t="str">
            <v>ANALISIS METAL + 5 COLOR</v>
          </cell>
        </row>
        <row r="26">
          <cell r="A26" t="str">
            <v>C17-2009</v>
          </cell>
          <cell r="F26" t="str">
            <v>SOLDADURA COLLAR</v>
          </cell>
          <cell r="I26" t="str">
            <v>ANALISIS OTRO</v>
          </cell>
        </row>
        <row r="27">
          <cell r="A27" t="str">
            <v>C18-2009</v>
          </cell>
          <cell r="F27" t="str">
            <v>SOLDADURA ARETES</v>
          </cell>
          <cell r="I27" t="str">
            <v>ANALISIS</v>
          </cell>
        </row>
        <row r="28">
          <cell r="A28" t="str">
            <v>C19-2009</v>
          </cell>
          <cell r="F28" t="str">
            <v>SOLDADURA ANILLO</v>
          </cell>
        </row>
        <row r="29">
          <cell r="A29" t="str">
            <v>CX-2009</v>
          </cell>
          <cell r="F29" t="str">
            <v>SOLDADURA PULSERA</v>
          </cell>
        </row>
        <row r="30">
          <cell r="F30" t="str">
            <v>SOLDADURA OTRO</v>
          </cell>
        </row>
        <row r="31">
          <cell r="F31" t="str">
            <v>SOLDADURA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  <row r="42">
          <cell r="F42" t="str">
            <v>MOD COLLAR</v>
          </cell>
        </row>
        <row r="43">
          <cell r="F43" t="str">
            <v>MOD ARETES</v>
          </cell>
        </row>
        <row r="44">
          <cell r="F44" t="str">
            <v>MOD ANILLOS</v>
          </cell>
        </row>
        <row r="45">
          <cell r="F45" t="str">
            <v>MOD PULSERAS</v>
          </cell>
        </row>
        <row r="46">
          <cell r="F46" t="str">
            <v>MOD OTRO.</v>
          </cell>
        </row>
        <row r="47">
          <cell r="F47" t="str">
            <v>MOD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A2" t="str">
            <v>ACCESORIO LAGRIMA TURQUEZA</v>
          </cell>
        </row>
      </sheetData>
      <sheetData sheetId="14" refreshError="1">
        <row r="8">
          <cell r="G8" t="str">
            <v>COLLAR</v>
          </cell>
        </row>
        <row r="20">
          <cell r="I20" t="str">
            <v>ANALISIS METAL</v>
          </cell>
        </row>
        <row r="21">
          <cell r="I21" t="str">
            <v>ANALISIS METAL + 1 COLOR</v>
          </cell>
        </row>
        <row r="22">
          <cell r="I22" t="str">
            <v>ANALISIS METAL + 2 COLOR</v>
          </cell>
        </row>
        <row r="23">
          <cell r="I23" t="str">
            <v>ANALISIS METAL + 3 COLOR</v>
          </cell>
        </row>
        <row r="24">
          <cell r="I24" t="str">
            <v>ANALISIS METAL + 4 COLOR</v>
          </cell>
        </row>
        <row r="25">
          <cell r="I25" t="str">
            <v>ANALISIS METAL + 5 COLOR</v>
          </cell>
        </row>
        <row r="26">
          <cell r="I26" t="str">
            <v>ANALISIS OTRO</v>
          </cell>
        </row>
        <row r="27">
          <cell r="I27" t="str">
            <v>ANALISIS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7AB18-1E21-4900-9088-201FA639B549}">
  <dimension ref="A2:CY16"/>
  <sheetViews>
    <sheetView showGridLines="0" topLeftCell="E1" zoomScale="53" zoomScaleNormal="53" workbookViewId="0">
      <selection activeCell="E32" sqref="E32"/>
    </sheetView>
  </sheetViews>
  <sheetFormatPr baseColWidth="10" defaultColWidth="11.42578125" defaultRowHeight="23.25" x14ac:dyDescent="0.3"/>
  <cols>
    <col min="1" max="1" width="3.42578125" style="1" customWidth="1"/>
    <col min="2" max="2" width="6.85546875" style="1" customWidth="1"/>
    <col min="3" max="3" width="15.140625" style="5" customWidth="1"/>
    <col min="4" max="4" width="18.5703125" style="1" customWidth="1"/>
    <col min="5" max="5" width="65.85546875" style="1" customWidth="1"/>
    <col min="6" max="6" width="14.42578125" style="1" customWidth="1"/>
    <col min="7" max="7" width="29.42578125" style="1" customWidth="1"/>
    <col min="8" max="8" width="22.140625" style="1" customWidth="1"/>
    <col min="9" max="9" width="101.85546875" style="1" customWidth="1"/>
    <col min="10" max="10" width="27.5703125" style="1" customWidth="1"/>
    <col min="11" max="11" width="30.140625" style="8" customWidth="1"/>
    <col min="12" max="12" width="19" style="8" customWidth="1"/>
    <col min="13" max="13" width="23.5703125" style="1" customWidth="1"/>
    <col min="14" max="14" width="20.7109375" style="1" customWidth="1"/>
    <col min="15" max="15" width="19.85546875" style="1" customWidth="1"/>
    <col min="16" max="16" width="14.28515625" style="1" customWidth="1"/>
    <col min="17" max="17" width="22.28515625" style="1" customWidth="1"/>
    <col min="18" max="18" width="20.7109375" style="1" customWidth="1"/>
    <col min="19" max="19" width="19.7109375" style="1" customWidth="1"/>
    <col min="20" max="20" width="27" style="1" customWidth="1"/>
    <col min="21" max="21" width="16.5703125" style="1" customWidth="1"/>
    <col min="22" max="22" width="17.7109375" style="1" customWidth="1"/>
    <col min="23" max="23" width="21.140625" style="1" customWidth="1"/>
    <col min="24" max="24" width="21.5703125" style="1" customWidth="1"/>
    <col min="25" max="25" width="23.5703125" style="1" customWidth="1"/>
    <col min="26" max="26" width="31.5703125" style="1" bestFit="1" customWidth="1"/>
    <col min="27" max="27" width="21.42578125" style="1" customWidth="1"/>
    <col min="28" max="28" width="10.42578125" style="1" customWidth="1"/>
    <col min="29" max="29" width="13.28515625" style="1" customWidth="1"/>
    <col min="30" max="30" width="15.7109375" style="1" customWidth="1"/>
    <col min="31" max="31" width="20.7109375" style="1" customWidth="1"/>
    <col min="32" max="32" width="21" style="1" customWidth="1"/>
    <col min="33" max="33" width="18.140625" style="1" customWidth="1"/>
    <col min="34" max="34" width="21.5703125" style="1" bestFit="1" customWidth="1"/>
    <col min="35" max="35" width="20" style="1" customWidth="1"/>
    <col min="36" max="36" width="14.140625" style="1" bestFit="1" customWidth="1"/>
    <col min="37" max="37" width="25" style="1" customWidth="1"/>
    <col min="38" max="16384" width="11.42578125" style="1"/>
  </cols>
  <sheetData>
    <row r="2" spans="1:103" x14ac:dyDescent="0.3">
      <c r="B2" s="115" t="s">
        <v>39</v>
      </c>
      <c r="C2" s="115"/>
      <c r="D2" s="115"/>
      <c r="E2" s="115"/>
      <c r="F2" s="115"/>
      <c r="G2" s="115"/>
      <c r="H2" s="115"/>
      <c r="I2" s="115"/>
      <c r="J2" s="115"/>
    </row>
    <row r="3" spans="1:103" ht="54" x14ac:dyDescent="0.3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3" t="s">
        <v>5</v>
      </c>
      <c r="H3" s="3" t="s">
        <v>6</v>
      </c>
      <c r="I3" s="3" t="s">
        <v>7</v>
      </c>
      <c r="J3" s="3" t="s">
        <v>8</v>
      </c>
      <c r="M3" s="23" t="s">
        <v>9</v>
      </c>
      <c r="N3" s="23" t="s">
        <v>10</v>
      </c>
      <c r="O3" s="23" t="s">
        <v>11</v>
      </c>
      <c r="P3" s="23" t="s">
        <v>12</v>
      </c>
      <c r="Q3" s="24" t="s">
        <v>13</v>
      </c>
      <c r="R3" s="24" t="s">
        <v>14</v>
      </c>
      <c r="S3" s="24" t="s">
        <v>15</v>
      </c>
      <c r="T3" s="24" t="s">
        <v>16</v>
      </c>
      <c r="U3" s="24" t="s">
        <v>17</v>
      </c>
      <c r="V3" s="24" t="s">
        <v>18</v>
      </c>
      <c r="W3" s="24" t="s">
        <v>19</v>
      </c>
      <c r="X3" s="23" t="s">
        <v>20</v>
      </c>
      <c r="Y3" s="23" t="s">
        <v>21</v>
      </c>
      <c r="Z3" s="25"/>
      <c r="AA3" s="25" t="s">
        <v>22</v>
      </c>
      <c r="AB3" s="25" t="s">
        <v>23</v>
      </c>
      <c r="AC3" s="25" t="s">
        <v>24</v>
      </c>
      <c r="AD3" s="25" t="s">
        <v>25</v>
      </c>
      <c r="AE3" s="25" t="s">
        <v>26</v>
      </c>
      <c r="AF3" s="23" t="s">
        <v>27</v>
      </c>
      <c r="AG3" s="23" t="s">
        <v>28</v>
      </c>
      <c r="AH3" s="26" t="s">
        <v>17</v>
      </c>
      <c r="AI3" s="26" t="s">
        <v>29</v>
      </c>
      <c r="AJ3" s="26" t="s">
        <v>30</v>
      </c>
      <c r="AK3" s="27" t="s">
        <v>31</v>
      </c>
    </row>
    <row r="4" spans="1:103" s="13" customFormat="1" ht="181.5" customHeight="1" x14ac:dyDescent="0.35">
      <c r="A4" s="9"/>
      <c r="B4" s="73">
        <v>1</v>
      </c>
      <c r="C4" s="114" t="s">
        <v>36</v>
      </c>
      <c r="D4" s="114"/>
      <c r="E4" s="44"/>
      <c r="F4" s="34">
        <v>100</v>
      </c>
      <c r="G4" s="45">
        <v>6.29</v>
      </c>
      <c r="H4" s="35" t="s">
        <v>34</v>
      </c>
      <c r="I4" s="36" t="s">
        <v>38</v>
      </c>
      <c r="J4" s="4">
        <f>F4*G4</f>
        <v>629</v>
      </c>
      <c r="K4" s="10"/>
      <c r="L4" s="42"/>
      <c r="M4" s="47" t="s">
        <v>32</v>
      </c>
      <c r="N4" s="114" t="s">
        <v>37</v>
      </c>
      <c r="O4" s="114"/>
      <c r="P4" s="114"/>
      <c r="Q4" s="14">
        <v>2.8</v>
      </c>
      <c r="R4" s="28">
        <v>57</v>
      </c>
      <c r="S4" s="15">
        <f>Q4*R4/100</f>
        <v>1.5959999999999999</v>
      </c>
      <c r="T4" s="16">
        <f>S4*V4</f>
        <v>159.6</v>
      </c>
      <c r="U4" s="17">
        <f>Q4+S4</f>
        <v>4.3959999999999999</v>
      </c>
      <c r="V4" s="28">
        <f>F4</f>
        <v>100</v>
      </c>
      <c r="W4" s="46">
        <f>Q4*3</f>
        <v>8.3999999999999986</v>
      </c>
      <c r="X4" s="74">
        <v>95</v>
      </c>
      <c r="Y4" s="18">
        <f>V4*U4+W4+X4</f>
        <v>543</v>
      </c>
      <c r="Z4" s="29" t="s">
        <v>35</v>
      </c>
      <c r="AA4" s="30">
        <v>75</v>
      </c>
      <c r="AB4" s="31">
        <v>1</v>
      </c>
      <c r="AC4" s="31">
        <v>1</v>
      </c>
      <c r="AD4" s="31">
        <v>1</v>
      </c>
      <c r="AE4" s="19">
        <f>AA4*AB4*AC4*AD4</f>
        <v>75</v>
      </c>
      <c r="AF4" s="32">
        <v>4.8499999999999996</v>
      </c>
      <c r="AG4" s="43">
        <f>1%*(Y4+AE4+AF4)</f>
        <v>6.2285000000000004</v>
      </c>
      <c r="AH4" s="20">
        <f>Y4+AE4+AG4+AF4</f>
        <v>629.07850000000008</v>
      </c>
      <c r="AI4" s="21">
        <f>AH4/V4</f>
        <v>6.2907850000000005</v>
      </c>
      <c r="AJ4" s="22">
        <f>AI4*0.18</f>
        <v>1.1323413</v>
      </c>
      <c r="AK4" s="33">
        <f>AI4+AJ4</f>
        <v>7.4231263000000007</v>
      </c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1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</row>
    <row r="5" spans="1:103" s="37" customFormat="1" ht="26.25" customHeight="1" x14ac:dyDescent="0.25">
      <c r="B5" s="48"/>
      <c r="C5" s="40"/>
      <c r="D5" s="40"/>
      <c r="E5" s="49"/>
      <c r="F5" s="50"/>
      <c r="G5" s="51"/>
      <c r="H5" s="52"/>
      <c r="I5" s="71" t="s">
        <v>33</v>
      </c>
      <c r="J5" s="72">
        <f>J4*18%</f>
        <v>113.22</v>
      </c>
      <c r="K5" s="38"/>
      <c r="M5" s="53"/>
      <c r="N5" s="54"/>
      <c r="O5" s="54"/>
      <c r="P5" s="54"/>
      <c r="Q5" s="55"/>
      <c r="R5" s="56"/>
      <c r="S5" s="57"/>
      <c r="T5" s="58"/>
      <c r="U5" s="59"/>
      <c r="V5" s="56"/>
      <c r="W5" s="60"/>
      <c r="X5" s="61"/>
      <c r="Y5" s="62"/>
      <c r="Z5" s="63"/>
      <c r="AA5" s="64"/>
      <c r="AB5" s="65"/>
      <c r="AC5" s="65"/>
      <c r="AD5" s="65"/>
      <c r="AE5" s="66"/>
      <c r="AF5" s="64"/>
      <c r="AG5" s="61"/>
      <c r="AH5" s="67"/>
      <c r="AI5" s="68"/>
      <c r="AJ5" s="69"/>
      <c r="AK5" s="70"/>
    </row>
    <row r="6" spans="1:103" x14ac:dyDescent="0.3">
      <c r="I6" s="41" t="s">
        <v>31</v>
      </c>
      <c r="J6" s="39">
        <f>SUM(J4:J5)</f>
        <v>742.22</v>
      </c>
    </row>
    <row r="7" spans="1:103" x14ac:dyDescent="0.3">
      <c r="AF7" s="6"/>
      <c r="AG7" s="6"/>
      <c r="AI7" s="1">
        <v>6.29</v>
      </c>
    </row>
    <row r="8" spans="1:103" x14ac:dyDescent="0.3">
      <c r="AF8" s="6"/>
      <c r="AG8" s="6"/>
    </row>
    <row r="16" spans="1:103" x14ac:dyDescent="0.3">
      <c r="AF16" s="7">
        <f>AE16/2.85</f>
        <v>0</v>
      </c>
    </row>
  </sheetData>
  <mergeCells count="3">
    <mergeCell ref="C4:D4"/>
    <mergeCell ref="N4:P4"/>
    <mergeCell ref="B2:J2"/>
  </mergeCells>
  <pageMargins left="0.7" right="0.7" top="0.75" bottom="0.75" header="0.3" footer="0.3"/>
  <pageSetup scale="7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181D5-000C-45EB-939C-41B685069584}">
  <dimension ref="A2:CY23"/>
  <sheetViews>
    <sheetView showGridLines="0" topLeftCell="P5" zoomScale="55" zoomScaleNormal="55" workbookViewId="0">
      <selection activeCell="B15" sqref="B15:AK18"/>
    </sheetView>
  </sheetViews>
  <sheetFormatPr baseColWidth="10" defaultColWidth="11.42578125" defaultRowHeight="23.25" x14ac:dyDescent="0.3"/>
  <cols>
    <col min="1" max="1" width="3.42578125" style="1" customWidth="1"/>
    <col min="2" max="2" width="6.85546875" style="1" customWidth="1"/>
    <col min="3" max="3" width="15.140625" style="5" customWidth="1"/>
    <col min="4" max="4" width="18.5703125" style="1" customWidth="1"/>
    <col min="5" max="5" width="65.85546875" style="1" customWidth="1"/>
    <col min="6" max="6" width="14.42578125" style="1" customWidth="1"/>
    <col min="7" max="7" width="29.42578125" style="1" customWidth="1"/>
    <col min="8" max="8" width="22.140625" style="1" customWidth="1"/>
    <col min="9" max="9" width="101.85546875" style="1" customWidth="1"/>
    <col min="10" max="10" width="27.5703125" style="1" customWidth="1"/>
    <col min="11" max="11" width="30.140625" style="8" customWidth="1"/>
    <col min="12" max="12" width="19" style="8" customWidth="1"/>
    <col min="13" max="13" width="23.5703125" style="1" customWidth="1"/>
    <col min="14" max="14" width="20.7109375" style="1" customWidth="1"/>
    <col min="15" max="15" width="19.85546875" style="1" customWidth="1"/>
    <col min="16" max="16" width="33.42578125" style="1" customWidth="1"/>
    <col min="17" max="17" width="22.28515625" style="1" customWidth="1"/>
    <col min="18" max="18" width="20.7109375" style="1" customWidth="1"/>
    <col min="19" max="19" width="19.7109375" style="1" customWidth="1"/>
    <col min="20" max="20" width="27" style="1" customWidth="1"/>
    <col min="21" max="21" width="16.5703125" style="1" customWidth="1"/>
    <col min="22" max="22" width="17.7109375" style="1" customWidth="1"/>
    <col min="23" max="23" width="21.140625" style="1" customWidth="1"/>
    <col min="24" max="24" width="21.5703125" style="1" customWidth="1"/>
    <col min="25" max="25" width="23.5703125" style="1" customWidth="1"/>
    <col min="26" max="26" width="31.5703125" style="1" bestFit="1" customWidth="1"/>
    <col min="27" max="27" width="21.42578125" style="1" customWidth="1"/>
    <col min="28" max="28" width="10.42578125" style="1" customWidth="1"/>
    <col min="29" max="29" width="13.28515625" style="1" customWidth="1"/>
    <col min="30" max="30" width="15.7109375" style="1" customWidth="1"/>
    <col min="31" max="31" width="20.7109375" style="1" customWidth="1"/>
    <col min="32" max="32" width="21" style="1" customWidth="1"/>
    <col min="33" max="33" width="18.140625" style="1" customWidth="1"/>
    <col min="34" max="34" width="21.5703125" style="1" bestFit="1" customWidth="1"/>
    <col min="35" max="35" width="20" style="1" customWidth="1"/>
    <col min="36" max="36" width="14.140625" style="1" bestFit="1" customWidth="1"/>
    <col min="37" max="37" width="25" style="1" customWidth="1"/>
    <col min="38" max="16384" width="11.42578125" style="1"/>
  </cols>
  <sheetData>
    <row r="2" spans="2:37" x14ac:dyDescent="0.3">
      <c r="B2" s="115" t="s">
        <v>48</v>
      </c>
      <c r="C2" s="115"/>
      <c r="D2" s="115"/>
      <c r="E2" s="115"/>
      <c r="F2" s="115"/>
      <c r="G2" s="115"/>
      <c r="H2" s="115"/>
      <c r="I2" s="115"/>
      <c r="J2" s="115"/>
    </row>
    <row r="3" spans="2:37" ht="54" x14ac:dyDescent="0.3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3" t="s">
        <v>5</v>
      </c>
      <c r="H3" s="3" t="s">
        <v>6</v>
      </c>
      <c r="I3" s="3" t="s">
        <v>7</v>
      </c>
      <c r="J3" s="3" t="s">
        <v>8</v>
      </c>
      <c r="M3" s="23" t="s">
        <v>9</v>
      </c>
      <c r="N3" s="23" t="s">
        <v>10</v>
      </c>
      <c r="O3" s="23" t="s">
        <v>11</v>
      </c>
      <c r="P3" s="23" t="s">
        <v>12</v>
      </c>
      <c r="Q3" s="24" t="s">
        <v>13</v>
      </c>
      <c r="R3" s="24" t="s">
        <v>14</v>
      </c>
      <c r="S3" s="24" t="s">
        <v>15</v>
      </c>
      <c r="T3" s="24" t="s">
        <v>16</v>
      </c>
      <c r="U3" s="24" t="s">
        <v>17</v>
      </c>
      <c r="V3" s="24" t="s">
        <v>18</v>
      </c>
      <c r="W3" s="24" t="s">
        <v>19</v>
      </c>
      <c r="X3" s="23" t="s">
        <v>20</v>
      </c>
      <c r="Y3" s="23" t="s">
        <v>21</v>
      </c>
      <c r="Z3" s="25"/>
      <c r="AA3" s="25" t="s">
        <v>22</v>
      </c>
      <c r="AB3" s="25" t="s">
        <v>23</v>
      </c>
      <c r="AC3" s="25" t="s">
        <v>24</v>
      </c>
      <c r="AD3" s="25" t="s">
        <v>25</v>
      </c>
      <c r="AE3" s="25" t="s">
        <v>26</v>
      </c>
      <c r="AF3" s="23" t="s">
        <v>27</v>
      </c>
      <c r="AG3" s="23" t="s">
        <v>28</v>
      </c>
      <c r="AH3" s="26" t="s">
        <v>17</v>
      </c>
      <c r="AI3" s="26" t="s">
        <v>29</v>
      </c>
      <c r="AJ3" s="26" t="s">
        <v>30</v>
      </c>
      <c r="AK3" s="27" t="s">
        <v>31</v>
      </c>
    </row>
    <row r="4" spans="2:37" ht="215.25" customHeight="1" x14ac:dyDescent="0.35">
      <c r="B4" s="73">
        <v>1</v>
      </c>
      <c r="C4" s="114" t="s">
        <v>41</v>
      </c>
      <c r="D4" s="114"/>
      <c r="E4" s="44" t="s">
        <v>40</v>
      </c>
      <c r="F4" s="34">
        <v>100</v>
      </c>
      <c r="G4" s="45">
        <v>25.29</v>
      </c>
      <c r="H4" s="35" t="s">
        <v>43</v>
      </c>
      <c r="I4" s="36" t="s">
        <v>44</v>
      </c>
      <c r="J4" s="4">
        <f>F4*G4</f>
        <v>2529</v>
      </c>
      <c r="M4" s="75" t="s">
        <v>45</v>
      </c>
      <c r="N4" s="116" t="s">
        <v>47</v>
      </c>
      <c r="O4" s="117"/>
      <c r="P4" s="118"/>
      <c r="Q4" s="14">
        <f>1800/100</f>
        <v>18</v>
      </c>
      <c r="R4" s="28">
        <v>30</v>
      </c>
      <c r="S4" s="15">
        <f>Q4*R4/100</f>
        <v>5.4</v>
      </c>
      <c r="T4" s="16">
        <f>S4*V4</f>
        <v>540</v>
      </c>
      <c r="U4" s="17">
        <f>Q4+S4</f>
        <v>23.4</v>
      </c>
      <c r="V4" s="28">
        <f>F4</f>
        <v>100</v>
      </c>
      <c r="W4" s="46">
        <f>Q4</f>
        <v>18</v>
      </c>
      <c r="X4" s="74">
        <v>100</v>
      </c>
      <c r="Y4" s="18">
        <f>V4*U4+W4+X4</f>
        <v>2458</v>
      </c>
      <c r="Z4" s="76" t="s">
        <v>42</v>
      </c>
      <c r="AA4" s="30">
        <v>0</v>
      </c>
      <c r="AB4" s="31">
        <v>1</v>
      </c>
      <c r="AC4" s="31">
        <v>1</v>
      </c>
      <c r="AD4" s="31">
        <v>1</v>
      </c>
      <c r="AE4" s="19">
        <f>AA4*AB4*AC4*AD4</f>
        <v>0</v>
      </c>
      <c r="AF4" s="32">
        <f>V4/40*3.85</f>
        <v>9.625</v>
      </c>
      <c r="AG4" s="43">
        <f>1.5%*(Y4+AE4+AF4)</f>
        <v>37.014375000000001</v>
      </c>
      <c r="AH4" s="20">
        <f>Y4+AE4+AG4+AF4</f>
        <v>2504.6393750000002</v>
      </c>
      <c r="AI4" s="21">
        <f>AH4/V4</f>
        <v>25.046393750000004</v>
      </c>
      <c r="AJ4" s="22">
        <f>AI4*0.18</f>
        <v>4.5083508750000005</v>
      </c>
      <c r="AK4" s="33">
        <f>AI4+AJ4</f>
        <v>29.554744625000005</v>
      </c>
    </row>
    <row r="5" spans="2:37" ht="215.25" customHeight="1" x14ac:dyDescent="0.35">
      <c r="B5" s="73">
        <v>2</v>
      </c>
      <c r="C5" s="114" t="s">
        <v>41</v>
      </c>
      <c r="D5" s="114"/>
      <c r="E5" s="44" t="s">
        <v>40</v>
      </c>
      <c r="F5" s="34">
        <v>200</v>
      </c>
      <c r="G5" s="45">
        <v>16.489999999999998</v>
      </c>
      <c r="H5" s="35" t="s">
        <v>43</v>
      </c>
      <c r="I5" s="36" t="s">
        <v>44</v>
      </c>
      <c r="J5" s="4">
        <f>F5*G5</f>
        <v>3297.9999999999995</v>
      </c>
      <c r="M5" s="75" t="s">
        <v>45</v>
      </c>
      <c r="N5" s="116" t="s">
        <v>47</v>
      </c>
      <c r="O5" s="117"/>
      <c r="P5" s="118"/>
      <c r="Q5" s="14">
        <f>1800/200</f>
        <v>9</v>
      </c>
      <c r="R5" s="28">
        <v>69.8</v>
      </c>
      <c r="S5" s="15">
        <f>Q5*R5/100</f>
        <v>6.2819999999999991</v>
      </c>
      <c r="T5" s="16">
        <f>S5*V5</f>
        <v>1256.3999999999999</v>
      </c>
      <c r="U5" s="17">
        <f>Q5+S5</f>
        <v>15.282</v>
      </c>
      <c r="V5" s="28">
        <f>F5</f>
        <v>200</v>
      </c>
      <c r="W5" s="46">
        <f>Q5*5</f>
        <v>45</v>
      </c>
      <c r="X5" s="74">
        <v>120</v>
      </c>
      <c r="Y5" s="18">
        <f>V5*U5+W5+X5</f>
        <v>3221.4</v>
      </c>
      <c r="Z5" s="76" t="s">
        <v>42</v>
      </c>
      <c r="AA5" s="30">
        <v>0</v>
      </c>
      <c r="AB5" s="31">
        <v>1</v>
      </c>
      <c r="AC5" s="31">
        <v>1</v>
      </c>
      <c r="AD5" s="31">
        <v>1</v>
      </c>
      <c r="AE5" s="19">
        <f>AA5*AB5*AC5*AD5</f>
        <v>0</v>
      </c>
      <c r="AF5" s="32">
        <f>V5/40*3.85</f>
        <v>19.25</v>
      </c>
      <c r="AG5" s="43">
        <f>1.5%*(Y5+AE5+AF5)</f>
        <v>48.609749999999998</v>
      </c>
      <c r="AH5" s="20">
        <f>Y5+AE5+AG5+AF5</f>
        <v>3289.2597500000002</v>
      </c>
      <c r="AI5" s="21">
        <f>AH5/V5</f>
        <v>16.44629875</v>
      </c>
      <c r="AJ5" s="22">
        <f>AI5*0.18</f>
        <v>2.9603337750000001</v>
      </c>
      <c r="AK5" s="33">
        <f>AI5+AJ5</f>
        <v>19.406632524999999</v>
      </c>
    </row>
    <row r="9" spans="2:37" x14ac:dyDescent="0.3">
      <c r="B9" s="115" t="s">
        <v>48</v>
      </c>
      <c r="C9" s="115"/>
      <c r="D9" s="115"/>
      <c r="E9" s="115"/>
      <c r="F9" s="115"/>
      <c r="G9" s="115"/>
      <c r="H9" s="115"/>
      <c r="I9" s="115"/>
      <c r="J9" s="115"/>
    </row>
    <row r="10" spans="2:37" ht="54" x14ac:dyDescent="0.3">
      <c r="B10" s="2" t="s">
        <v>0</v>
      </c>
      <c r="C10" s="2" t="s">
        <v>1</v>
      </c>
      <c r="D10" s="2" t="s">
        <v>2</v>
      </c>
      <c r="E10" s="2" t="s">
        <v>3</v>
      </c>
      <c r="F10" s="2" t="s">
        <v>4</v>
      </c>
      <c r="G10" s="3" t="s">
        <v>5</v>
      </c>
      <c r="H10" s="3" t="s">
        <v>6</v>
      </c>
      <c r="I10" s="3" t="s">
        <v>7</v>
      </c>
      <c r="J10" s="3" t="s">
        <v>8</v>
      </c>
      <c r="M10" s="23" t="s">
        <v>9</v>
      </c>
      <c r="N10" s="23" t="s">
        <v>10</v>
      </c>
      <c r="O10" s="23" t="s">
        <v>11</v>
      </c>
      <c r="P10" s="23" t="s">
        <v>12</v>
      </c>
      <c r="Q10" s="24" t="s">
        <v>13</v>
      </c>
      <c r="R10" s="24" t="s">
        <v>14</v>
      </c>
      <c r="S10" s="24" t="s">
        <v>15</v>
      </c>
      <c r="T10" s="24" t="s">
        <v>16</v>
      </c>
      <c r="U10" s="24" t="s">
        <v>17</v>
      </c>
      <c r="V10" s="24" t="s">
        <v>18</v>
      </c>
      <c r="W10" s="24" t="s">
        <v>19</v>
      </c>
      <c r="X10" s="23" t="s">
        <v>20</v>
      </c>
      <c r="Y10" s="23" t="s">
        <v>21</v>
      </c>
      <c r="Z10" s="25"/>
      <c r="AA10" s="25" t="s">
        <v>22</v>
      </c>
      <c r="AB10" s="25" t="s">
        <v>23</v>
      </c>
      <c r="AC10" s="25" t="s">
        <v>24</v>
      </c>
      <c r="AD10" s="25" t="s">
        <v>25</v>
      </c>
      <c r="AE10" s="25" t="s">
        <v>26</v>
      </c>
      <c r="AF10" s="23" t="s">
        <v>27</v>
      </c>
      <c r="AG10" s="23" t="s">
        <v>28</v>
      </c>
      <c r="AH10" s="26" t="s">
        <v>17</v>
      </c>
      <c r="AI10" s="26" t="s">
        <v>29</v>
      </c>
      <c r="AJ10" s="26" t="s">
        <v>30</v>
      </c>
      <c r="AK10" s="27" t="s">
        <v>31</v>
      </c>
    </row>
    <row r="11" spans="2:37" ht="215.25" customHeight="1" x14ac:dyDescent="0.35">
      <c r="B11" s="73">
        <v>1</v>
      </c>
      <c r="C11" s="114" t="s">
        <v>41</v>
      </c>
      <c r="D11" s="114"/>
      <c r="E11" s="44" t="s">
        <v>40</v>
      </c>
      <c r="F11" s="34">
        <v>100</v>
      </c>
      <c r="G11" s="45">
        <v>30.19</v>
      </c>
      <c r="H11" s="35" t="s">
        <v>43</v>
      </c>
      <c r="I11" s="36" t="s">
        <v>44</v>
      </c>
      <c r="J11" s="4">
        <f>F11*G11</f>
        <v>3019</v>
      </c>
      <c r="M11" s="75" t="s">
        <v>45</v>
      </c>
      <c r="N11" s="116" t="s">
        <v>47</v>
      </c>
      <c r="O11" s="117"/>
      <c r="P11" s="118"/>
      <c r="Q11" s="14">
        <v>20</v>
      </c>
      <c r="R11" s="28">
        <v>33</v>
      </c>
      <c r="S11" s="15">
        <f>Q11*R11/100</f>
        <v>6.6</v>
      </c>
      <c r="T11" s="16">
        <f>S11*V11</f>
        <v>660</v>
      </c>
      <c r="U11" s="17">
        <f>Q11+S11</f>
        <v>26.6</v>
      </c>
      <c r="V11" s="28">
        <f>F11</f>
        <v>100</v>
      </c>
      <c r="W11" s="46">
        <f>Q11*5</f>
        <v>100</v>
      </c>
      <c r="X11" s="74">
        <v>120</v>
      </c>
      <c r="Y11" s="18">
        <f>V11*U11+W11+X11</f>
        <v>2880</v>
      </c>
      <c r="Z11" s="76" t="s">
        <v>42</v>
      </c>
      <c r="AA11" s="30">
        <v>0</v>
      </c>
      <c r="AB11" s="31">
        <v>1</v>
      </c>
      <c r="AC11" s="31">
        <v>1</v>
      </c>
      <c r="AD11" s="31">
        <v>1</v>
      </c>
      <c r="AE11" s="19">
        <f>AA11*AB11*AC11*AD11</f>
        <v>0</v>
      </c>
      <c r="AF11" s="32">
        <f>V11/40*4.85</f>
        <v>12.125</v>
      </c>
      <c r="AG11" s="43">
        <f>2%*(Y11+AE11+AF11)</f>
        <v>57.842500000000001</v>
      </c>
      <c r="AH11" s="20">
        <f>Y11+AE11+AG11+AF11</f>
        <v>2949.9675000000002</v>
      </c>
      <c r="AI11" s="21">
        <f>AH11/V11</f>
        <v>29.499675000000003</v>
      </c>
      <c r="AJ11" s="22">
        <f>AI11*0.18</f>
        <v>5.3099415000000008</v>
      </c>
      <c r="AK11" s="33">
        <f>AI11+AJ11</f>
        <v>34.809616500000004</v>
      </c>
    </row>
    <row r="12" spans="2:37" ht="215.25" customHeight="1" x14ac:dyDescent="0.35">
      <c r="B12" s="73">
        <v>2</v>
      </c>
      <c r="C12" s="114" t="s">
        <v>41</v>
      </c>
      <c r="D12" s="114"/>
      <c r="E12" s="44" t="s">
        <v>40</v>
      </c>
      <c r="F12" s="34">
        <v>200</v>
      </c>
      <c r="G12" s="45">
        <v>21.99</v>
      </c>
      <c r="H12" s="35" t="s">
        <v>43</v>
      </c>
      <c r="I12" s="36" t="s">
        <v>44</v>
      </c>
      <c r="J12" s="4">
        <f>F12*G12</f>
        <v>4398</v>
      </c>
      <c r="M12" s="75" t="s">
        <v>45</v>
      </c>
      <c r="N12" s="116" t="s">
        <v>47</v>
      </c>
      <c r="O12" s="117"/>
      <c r="P12" s="118"/>
      <c r="Q12" s="14">
        <v>12</v>
      </c>
      <c r="R12" s="28">
        <v>69.8</v>
      </c>
      <c r="S12" s="15">
        <f>Q12*R12/100</f>
        <v>8.3759999999999994</v>
      </c>
      <c r="T12" s="16">
        <f>S12*V12</f>
        <v>1675.1999999999998</v>
      </c>
      <c r="U12" s="17">
        <f>Q12+S12</f>
        <v>20.375999999999998</v>
      </c>
      <c r="V12" s="28">
        <f>F12</f>
        <v>200</v>
      </c>
      <c r="W12" s="46">
        <f>Q12*5</f>
        <v>60</v>
      </c>
      <c r="X12" s="74">
        <v>150</v>
      </c>
      <c r="Y12" s="18">
        <f>V12*U12+W12+X12</f>
        <v>4285.1999999999989</v>
      </c>
      <c r="Z12" s="76" t="s">
        <v>42</v>
      </c>
      <c r="AA12" s="30">
        <v>0</v>
      </c>
      <c r="AB12" s="31">
        <v>1</v>
      </c>
      <c r="AC12" s="31">
        <v>1</v>
      </c>
      <c r="AD12" s="31">
        <v>1</v>
      </c>
      <c r="AE12" s="19">
        <f>AA12*AB12*AC12*AD12</f>
        <v>0</v>
      </c>
      <c r="AF12" s="32">
        <f>V12/40*4.85</f>
        <v>24.25</v>
      </c>
      <c r="AG12" s="43">
        <f>2%*(Y12+AE12+AF12)</f>
        <v>86.188999999999979</v>
      </c>
      <c r="AH12" s="20">
        <f>Y12+AE12+AG12+AF12</f>
        <v>4395.6389999999992</v>
      </c>
      <c r="AI12" s="21">
        <f>AH12/V12</f>
        <v>21.978194999999996</v>
      </c>
      <c r="AJ12" s="22">
        <f>AI12*0.18</f>
        <v>3.9560750999999992</v>
      </c>
      <c r="AK12" s="33">
        <f>AI12+AJ12</f>
        <v>25.934270099999996</v>
      </c>
    </row>
    <row r="15" spans="2:37" x14ac:dyDescent="0.3">
      <c r="B15" s="115" t="s">
        <v>46</v>
      </c>
      <c r="C15" s="115"/>
      <c r="D15" s="115"/>
      <c r="E15" s="115"/>
      <c r="F15" s="115"/>
      <c r="G15" s="115"/>
      <c r="H15" s="115"/>
      <c r="I15" s="115"/>
      <c r="J15" s="115"/>
    </row>
    <row r="16" spans="2:37" ht="54" x14ac:dyDescent="0.3">
      <c r="B16" s="2" t="s">
        <v>0</v>
      </c>
      <c r="C16" s="2" t="s">
        <v>1</v>
      </c>
      <c r="D16" s="2" t="s">
        <v>2</v>
      </c>
      <c r="E16" s="2" t="s">
        <v>3</v>
      </c>
      <c r="F16" s="2" t="s">
        <v>4</v>
      </c>
      <c r="G16" s="3" t="s">
        <v>5</v>
      </c>
      <c r="H16" s="3" t="s">
        <v>6</v>
      </c>
      <c r="I16" s="3" t="s">
        <v>7</v>
      </c>
      <c r="J16" s="3" t="s">
        <v>8</v>
      </c>
      <c r="M16" s="23" t="s">
        <v>9</v>
      </c>
      <c r="N16" s="23" t="s">
        <v>10</v>
      </c>
      <c r="O16" s="23" t="s">
        <v>11</v>
      </c>
      <c r="P16" s="23" t="s">
        <v>12</v>
      </c>
      <c r="Q16" s="24" t="s">
        <v>13</v>
      </c>
      <c r="R16" s="24" t="s">
        <v>14</v>
      </c>
      <c r="S16" s="24" t="s">
        <v>15</v>
      </c>
      <c r="T16" s="24" t="s">
        <v>16</v>
      </c>
      <c r="U16" s="24" t="s">
        <v>17</v>
      </c>
      <c r="V16" s="24" t="s">
        <v>18</v>
      </c>
      <c r="W16" s="24" t="s">
        <v>19</v>
      </c>
      <c r="X16" s="23" t="s">
        <v>20</v>
      </c>
      <c r="Y16" s="23" t="s">
        <v>21</v>
      </c>
      <c r="Z16" s="25"/>
      <c r="AA16" s="25" t="s">
        <v>22</v>
      </c>
      <c r="AB16" s="25" t="s">
        <v>23</v>
      </c>
      <c r="AC16" s="25" t="s">
        <v>24</v>
      </c>
      <c r="AD16" s="25" t="s">
        <v>25</v>
      </c>
      <c r="AE16" s="25" t="s">
        <v>26</v>
      </c>
      <c r="AF16" s="23" t="s">
        <v>27</v>
      </c>
      <c r="AG16" s="23" t="s">
        <v>28</v>
      </c>
      <c r="AH16" s="26" t="s">
        <v>17</v>
      </c>
      <c r="AI16" s="26" t="s">
        <v>29</v>
      </c>
      <c r="AJ16" s="26" t="s">
        <v>30</v>
      </c>
      <c r="AK16" s="27" t="s">
        <v>31</v>
      </c>
    </row>
    <row r="17" spans="1:103" ht="107.25" customHeight="1" x14ac:dyDescent="0.3">
      <c r="B17" s="132">
        <v>1</v>
      </c>
      <c r="C17" s="116" t="s">
        <v>41</v>
      </c>
      <c r="D17" s="118"/>
      <c r="E17" s="130" t="s">
        <v>40</v>
      </c>
      <c r="F17" s="34">
        <v>1000</v>
      </c>
      <c r="G17" s="45">
        <f>AI17</f>
        <v>7.4852189999999998</v>
      </c>
      <c r="H17" s="128" t="s">
        <v>43</v>
      </c>
      <c r="I17" s="126" t="s">
        <v>44</v>
      </c>
      <c r="J17" s="4">
        <f>F17*G17</f>
        <v>7485.2190000000001</v>
      </c>
      <c r="M17" s="122" t="s">
        <v>45</v>
      </c>
      <c r="N17" s="116" t="s">
        <v>47</v>
      </c>
      <c r="O17" s="117"/>
      <c r="P17" s="118"/>
      <c r="Q17" s="14">
        <f>5300/1000</f>
        <v>5.3</v>
      </c>
      <c r="R17" s="28">
        <v>31.4</v>
      </c>
      <c r="S17" s="15">
        <f>Q17*R17/100</f>
        <v>1.6641999999999999</v>
      </c>
      <c r="T17" s="16">
        <f>S17*V17</f>
        <v>1664.1999999999998</v>
      </c>
      <c r="U17" s="17">
        <f>Q17+S17</f>
        <v>6.9641999999999999</v>
      </c>
      <c r="V17" s="28">
        <f>F17</f>
        <v>1000</v>
      </c>
      <c r="W17" s="46">
        <f>Q17*10</f>
        <v>53</v>
      </c>
      <c r="X17" s="74">
        <v>250</v>
      </c>
      <c r="Y17" s="18">
        <f>V17*U17+W17+X17</f>
        <v>7267.2</v>
      </c>
      <c r="Z17" s="124" t="s">
        <v>42</v>
      </c>
      <c r="AA17" s="30">
        <v>0</v>
      </c>
      <c r="AB17" s="31">
        <v>1</v>
      </c>
      <c r="AC17" s="31">
        <v>1</v>
      </c>
      <c r="AD17" s="31">
        <v>1</v>
      </c>
      <c r="AE17" s="19">
        <f>AA17*AB17*AC17*AD17</f>
        <v>0</v>
      </c>
      <c r="AF17" s="32">
        <f>V17/40*2.85</f>
        <v>71.25</v>
      </c>
      <c r="AG17" s="43">
        <f>2%*(Y17+AE17+AF17)</f>
        <v>146.76900000000001</v>
      </c>
      <c r="AH17" s="20">
        <f>Y17+AE17+AG17+AF17</f>
        <v>7485.2190000000001</v>
      </c>
      <c r="AI17" s="21">
        <f>AH17/V17</f>
        <v>7.4852189999999998</v>
      </c>
      <c r="AJ17" s="22">
        <f>AI17*0.18</f>
        <v>1.34733942</v>
      </c>
      <c r="AK17" s="33">
        <f>AI17+AJ17</f>
        <v>8.8325584199999998</v>
      </c>
    </row>
    <row r="18" spans="1:103" s="13" customFormat="1" ht="107.25" customHeight="1" x14ac:dyDescent="0.25">
      <c r="A18" s="9"/>
      <c r="B18" s="133"/>
      <c r="C18" s="119"/>
      <c r="D18" s="121"/>
      <c r="E18" s="131"/>
      <c r="F18" s="34">
        <v>500</v>
      </c>
      <c r="G18" s="45">
        <f>AI18</f>
        <v>9.387315000000001</v>
      </c>
      <c r="H18" s="129"/>
      <c r="I18" s="127"/>
      <c r="J18" s="4">
        <f>F18*G18</f>
        <v>4693.6575000000003</v>
      </c>
      <c r="K18" s="10"/>
      <c r="L18" s="42"/>
      <c r="M18" s="123"/>
      <c r="N18" s="119"/>
      <c r="O18" s="120"/>
      <c r="P18" s="121"/>
      <c r="Q18" s="14">
        <f>3200/500</f>
        <v>6.4</v>
      </c>
      <c r="R18" s="28">
        <v>36</v>
      </c>
      <c r="S18" s="15">
        <f>Q18*R18/100</f>
        <v>2.3040000000000003</v>
      </c>
      <c r="T18" s="16">
        <f>S18*V18</f>
        <v>1152.0000000000002</v>
      </c>
      <c r="U18" s="17">
        <f>Q18+S18</f>
        <v>8.7040000000000006</v>
      </c>
      <c r="V18" s="28">
        <f>F18</f>
        <v>500</v>
      </c>
      <c r="W18" s="46">
        <f>Q18*10</f>
        <v>64</v>
      </c>
      <c r="X18" s="74">
        <v>150</v>
      </c>
      <c r="Y18" s="18">
        <f>V18*U18+W18+X18</f>
        <v>4566</v>
      </c>
      <c r="Z18" s="125"/>
      <c r="AA18" s="30">
        <v>0</v>
      </c>
      <c r="AB18" s="31">
        <v>1</v>
      </c>
      <c r="AC18" s="31">
        <v>1</v>
      </c>
      <c r="AD18" s="31">
        <v>1</v>
      </c>
      <c r="AE18" s="19">
        <f>AA18*AB18*AC18*AD18</f>
        <v>0</v>
      </c>
      <c r="AF18" s="32">
        <f>V18/40*2.85</f>
        <v>35.625</v>
      </c>
      <c r="AG18" s="43">
        <f>2%*(Y18+AE18+AF18)</f>
        <v>92.032499999999999</v>
      </c>
      <c r="AH18" s="20">
        <f>Y18+AE18+AG18+AF18</f>
        <v>4693.6575000000003</v>
      </c>
      <c r="AI18" s="21">
        <f>AH18/V18</f>
        <v>9.387315000000001</v>
      </c>
      <c r="AJ18" s="22">
        <f>AI18*0.18</f>
        <v>1.6897167000000002</v>
      </c>
      <c r="AK18" s="33">
        <f>AI18+AJ18</f>
        <v>11.077031700000001</v>
      </c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1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</row>
    <row r="19" spans="1:103" x14ac:dyDescent="0.3">
      <c r="AF19" s="6"/>
      <c r="AG19" s="6"/>
    </row>
    <row r="23" spans="1:103" x14ac:dyDescent="0.3">
      <c r="A23"/>
    </row>
  </sheetData>
  <mergeCells count="19">
    <mergeCell ref="Z17:Z18"/>
    <mergeCell ref="B15:J15"/>
    <mergeCell ref="I17:I18"/>
    <mergeCell ref="H17:H18"/>
    <mergeCell ref="E17:E18"/>
    <mergeCell ref="C17:D18"/>
    <mergeCell ref="B17:B18"/>
    <mergeCell ref="N11:P11"/>
    <mergeCell ref="B9:J9"/>
    <mergeCell ref="C11:D11"/>
    <mergeCell ref="N17:P18"/>
    <mergeCell ref="M17:M18"/>
    <mergeCell ref="C12:D12"/>
    <mergeCell ref="N12:P12"/>
    <mergeCell ref="N4:P4"/>
    <mergeCell ref="N5:P5"/>
    <mergeCell ref="B2:J2"/>
    <mergeCell ref="C4:D4"/>
    <mergeCell ref="C5:D5"/>
  </mergeCells>
  <phoneticPr fontId="37" type="noConversion"/>
  <pageMargins left="0.7" right="0.7" top="0.75" bottom="0.75" header="0.3" footer="0.3"/>
  <pageSetup scale="7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C9269-27D6-4AA9-9BDC-02AF056EE909}">
  <dimension ref="B1:AK5"/>
  <sheetViews>
    <sheetView tabSelected="1" zoomScale="80" zoomScaleNormal="80" workbookViewId="0">
      <selection activeCell="B2" sqref="B2:J5"/>
    </sheetView>
  </sheetViews>
  <sheetFormatPr baseColWidth="10" defaultRowHeight="15" x14ac:dyDescent="0.25"/>
  <cols>
    <col min="1" max="1" width="5.140625" customWidth="1"/>
    <col min="2" max="2" width="5.5703125" customWidth="1"/>
    <col min="4" max="4" width="12.42578125" customWidth="1"/>
    <col min="5" max="5" width="48.85546875" customWidth="1"/>
    <col min="6" max="6" width="10.140625" customWidth="1"/>
    <col min="7" max="7" width="16.42578125" customWidth="1"/>
    <col min="8" max="8" width="17.140625" customWidth="1"/>
    <col min="9" max="9" width="67.85546875" customWidth="1"/>
    <col min="10" max="10" width="18" bestFit="1" customWidth="1"/>
    <col min="11" max="11" width="20.85546875" customWidth="1"/>
    <col min="13" max="13" width="18" customWidth="1"/>
    <col min="17" max="17" width="12.28515625" bestFit="1" customWidth="1"/>
    <col min="20" max="20" width="14.140625" customWidth="1"/>
    <col min="22" max="22" width="15" customWidth="1"/>
    <col min="23" max="23" width="23.42578125" customWidth="1"/>
    <col min="24" max="24" width="16.85546875" customWidth="1"/>
    <col min="25" max="25" width="17.28515625" customWidth="1"/>
    <col min="26" max="26" width="23.7109375" customWidth="1"/>
    <col min="27" max="27" width="19" customWidth="1"/>
    <col min="31" max="31" width="14.28515625" customWidth="1"/>
    <col min="32" max="32" width="16.5703125" customWidth="1"/>
    <col min="33" max="33" width="15.140625" customWidth="1"/>
    <col min="34" max="34" width="16.85546875" customWidth="1"/>
    <col min="35" max="35" width="19.140625" customWidth="1"/>
  </cols>
  <sheetData>
    <row r="1" spans="2:37" ht="15.75" thickBot="1" x14ac:dyDescent="0.3"/>
    <row r="2" spans="2:37" ht="23.25" x14ac:dyDescent="0.3">
      <c r="B2" s="135" t="s">
        <v>49</v>
      </c>
      <c r="C2" s="136"/>
      <c r="D2" s="136"/>
      <c r="E2" s="136"/>
      <c r="F2" s="136"/>
      <c r="G2" s="136"/>
      <c r="H2" s="136"/>
      <c r="I2" s="136"/>
      <c r="J2" s="137"/>
      <c r="K2" s="8"/>
      <c r="L2" s="8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2:37" ht="42.75" customHeight="1" thickBot="1" x14ac:dyDescent="0.3">
      <c r="B3" s="100" t="s">
        <v>0</v>
      </c>
      <c r="C3" s="101" t="s">
        <v>1</v>
      </c>
      <c r="D3" s="101" t="s">
        <v>2</v>
      </c>
      <c r="E3" s="101" t="s">
        <v>3</v>
      </c>
      <c r="F3" s="101" t="s">
        <v>4</v>
      </c>
      <c r="G3" s="102" t="s">
        <v>54</v>
      </c>
      <c r="H3" s="102" t="s">
        <v>6</v>
      </c>
      <c r="I3" s="102" t="s">
        <v>7</v>
      </c>
      <c r="J3" s="103" t="s">
        <v>8</v>
      </c>
      <c r="K3" s="99" t="s">
        <v>56</v>
      </c>
      <c r="L3" s="8"/>
      <c r="M3" s="23" t="s">
        <v>9</v>
      </c>
      <c r="N3" s="23" t="s">
        <v>50</v>
      </c>
      <c r="O3" s="23" t="s">
        <v>11</v>
      </c>
      <c r="P3" s="23" t="s">
        <v>12</v>
      </c>
      <c r="Q3" s="24" t="s">
        <v>13</v>
      </c>
      <c r="R3" s="24" t="s">
        <v>14</v>
      </c>
      <c r="S3" s="24" t="s">
        <v>15</v>
      </c>
      <c r="T3" s="24" t="s">
        <v>16</v>
      </c>
      <c r="U3" s="24" t="s">
        <v>17</v>
      </c>
      <c r="V3" s="24" t="s">
        <v>18</v>
      </c>
      <c r="W3" s="24" t="s">
        <v>19</v>
      </c>
      <c r="X3" s="23" t="s">
        <v>20</v>
      </c>
      <c r="Y3" s="23" t="s">
        <v>21</v>
      </c>
      <c r="Z3" s="25"/>
      <c r="AA3" s="25" t="s">
        <v>22</v>
      </c>
      <c r="AB3" s="25" t="s">
        <v>23</v>
      </c>
      <c r="AC3" s="25" t="s">
        <v>24</v>
      </c>
      <c r="AD3" s="25" t="s">
        <v>25</v>
      </c>
      <c r="AE3" s="25" t="s">
        <v>26</v>
      </c>
      <c r="AF3" s="23" t="s">
        <v>27</v>
      </c>
      <c r="AG3" s="23" t="s">
        <v>28</v>
      </c>
      <c r="AH3" s="26" t="s">
        <v>17</v>
      </c>
      <c r="AI3" s="26" t="s">
        <v>29</v>
      </c>
      <c r="AJ3" s="26" t="s">
        <v>30</v>
      </c>
      <c r="AK3" s="27" t="s">
        <v>31</v>
      </c>
    </row>
    <row r="4" spans="2:37" ht="207" customHeight="1" x14ac:dyDescent="0.35">
      <c r="B4" s="104">
        <v>1</v>
      </c>
      <c r="C4" s="138" t="s">
        <v>51</v>
      </c>
      <c r="D4" s="138"/>
      <c r="E4" s="105" t="s">
        <v>40</v>
      </c>
      <c r="F4" s="108">
        <v>12</v>
      </c>
      <c r="G4" s="109">
        <v>36.49</v>
      </c>
      <c r="H4" s="106" t="s">
        <v>52</v>
      </c>
      <c r="I4" s="107" t="s">
        <v>57</v>
      </c>
      <c r="J4" s="112">
        <f>F4*G4</f>
        <v>437.88</v>
      </c>
      <c r="K4" s="8"/>
      <c r="L4" s="8"/>
      <c r="M4" s="145" t="s">
        <v>55</v>
      </c>
      <c r="N4" s="139" t="s">
        <v>53</v>
      </c>
      <c r="O4" s="140"/>
      <c r="P4" s="141"/>
      <c r="Q4" s="81">
        <f>23/1.15</f>
        <v>20</v>
      </c>
      <c r="R4" s="82">
        <v>42</v>
      </c>
      <c r="S4" s="83">
        <f>Q4*R4/100</f>
        <v>8.4</v>
      </c>
      <c r="T4" s="84">
        <f>S4*V4</f>
        <v>100.80000000000001</v>
      </c>
      <c r="U4" s="85">
        <f>Q4+S4</f>
        <v>28.4</v>
      </c>
      <c r="V4" s="82">
        <f>F4</f>
        <v>12</v>
      </c>
      <c r="W4" s="86">
        <f>U4*1</f>
        <v>28.4</v>
      </c>
      <c r="X4" s="87">
        <v>60</v>
      </c>
      <c r="Y4" s="88">
        <f>V4*U4+W4+X4</f>
        <v>429.19999999999993</v>
      </c>
      <c r="Z4" s="98" t="s">
        <v>42</v>
      </c>
      <c r="AA4" s="89">
        <v>0</v>
      </c>
      <c r="AB4" s="90">
        <v>1</v>
      </c>
      <c r="AC4" s="90">
        <v>1</v>
      </c>
      <c r="AD4" s="90">
        <v>1</v>
      </c>
      <c r="AE4" s="91">
        <f>AA4*AB4*AC4*AD4</f>
        <v>0</v>
      </c>
      <c r="AF4" s="92">
        <v>3.5</v>
      </c>
      <c r="AG4" s="93">
        <f>1%*(Y4+AE4+AF4)</f>
        <v>4.3269999999999991</v>
      </c>
      <c r="AH4" s="94">
        <f>Y4+AE4+AG4+AF4</f>
        <v>437.02699999999993</v>
      </c>
      <c r="AI4" s="95">
        <f>AH4/V4</f>
        <v>36.418916666666661</v>
      </c>
      <c r="AJ4" s="96">
        <f>AI4*0.18</f>
        <v>6.5554049999999986</v>
      </c>
      <c r="AK4" s="97">
        <f>AI4+AJ4</f>
        <v>42.974321666666661</v>
      </c>
    </row>
    <row r="5" spans="2:37" ht="225.75" customHeight="1" thickBot="1" x14ac:dyDescent="0.4">
      <c r="B5" s="77">
        <v>2</v>
      </c>
      <c r="C5" s="134" t="s">
        <v>51</v>
      </c>
      <c r="D5" s="134"/>
      <c r="E5" s="78" t="s">
        <v>40</v>
      </c>
      <c r="F5" s="110">
        <v>12</v>
      </c>
      <c r="G5" s="111">
        <v>33.590000000000003</v>
      </c>
      <c r="H5" s="79" t="s">
        <v>52</v>
      </c>
      <c r="I5" s="80" t="s">
        <v>58</v>
      </c>
      <c r="J5" s="113">
        <f>F5*G5</f>
        <v>403.08000000000004</v>
      </c>
      <c r="M5" s="146"/>
      <c r="N5" s="142"/>
      <c r="O5" s="143"/>
      <c r="P5" s="144"/>
      <c r="Q5" s="81">
        <f>20/1.15</f>
        <v>17.39130434782609</v>
      </c>
      <c r="R5" s="82">
        <v>48</v>
      </c>
      <c r="S5" s="83">
        <f>Q5*R5/100</f>
        <v>8.3478260869565233</v>
      </c>
      <c r="T5" s="84">
        <f>S5*V5</f>
        <v>100.17391304347828</v>
      </c>
      <c r="U5" s="85">
        <f>Q5+S5</f>
        <v>25.739130434782613</v>
      </c>
      <c r="V5" s="82">
        <f>F5</f>
        <v>12</v>
      </c>
      <c r="W5" s="86">
        <f>U5*1</f>
        <v>25.739130434782613</v>
      </c>
      <c r="X5" s="87">
        <v>60</v>
      </c>
      <c r="Y5" s="88">
        <f>V5*U5+W5+X5</f>
        <v>394.60869565217399</v>
      </c>
      <c r="Z5" s="98" t="s">
        <v>42</v>
      </c>
      <c r="AA5" s="89">
        <v>0</v>
      </c>
      <c r="AB5" s="90">
        <v>1</v>
      </c>
      <c r="AC5" s="90">
        <v>1</v>
      </c>
      <c r="AD5" s="90">
        <v>1</v>
      </c>
      <c r="AE5" s="91">
        <f>AA5*AB5*AC5*AD5</f>
        <v>0</v>
      </c>
      <c r="AF5" s="92">
        <v>3.5</v>
      </c>
      <c r="AG5" s="93">
        <f>1%*(Y5+AE5+AF5)</f>
        <v>3.9810869565217399</v>
      </c>
      <c r="AH5" s="94">
        <f>Y5+AE5+AG5+AF5</f>
        <v>402.08978260869571</v>
      </c>
      <c r="AI5" s="95">
        <f>AH5/V5</f>
        <v>33.507481884057974</v>
      </c>
      <c r="AJ5" s="96">
        <f>AI5*0.18</f>
        <v>6.0313467391304352</v>
      </c>
      <c r="AK5" s="97">
        <f>AI5+AJ5</f>
        <v>39.538828623188408</v>
      </c>
    </row>
  </sheetData>
  <mergeCells count="5">
    <mergeCell ref="C5:D5"/>
    <mergeCell ref="B2:J2"/>
    <mergeCell ref="C4:D4"/>
    <mergeCell ref="N4:P5"/>
    <mergeCell ref="M4:M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ENERO</vt:lpstr>
      <vt:lpstr>FEBRERO</vt:lpstr>
      <vt:lpstr>MAYO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Lady Diana Orellana Estrada</dc:creator>
  <cp:keywords/>
  <dc:description/>
  <cp:lastModifiedBy>Sebastian Girales</cp:lastModifiedBy>
  <cp:revision/>
  <dcterms:created xsi:type="dcterms:W3CDTF">2023-01-03T18:57:36Z</dcterms:created>
  <dcterms:modified xsi:type="dcterms:W3CDTF">2026-05-14T22:40:45Z</dcterms:modified>
  <cp:category/>
  <cp:contentStatus/>
</cp:coreProperties>
</file>